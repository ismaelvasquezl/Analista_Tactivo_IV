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Guía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Reglas" sheetId="4" state="visible" r:id="rId4"/>
    <sheet xmlns:r="http://schemas.openxmlformats.org/officeDocument/2006/relationships" name="Contexto" sheetId="5" state="visible" r:id="rId5"/>
    <sheet xmlns:r="http://schemas.openxmlformats.org/officeDocument/2006/relationships" name="Listas" sheetId="6" state="hidden" r:id="rId6"/>
    <sheet xmlns:r="http://schemas.openxmlformats.org/officeDocument/2006/relationships" name="Registro" sheetId="7" state="visible" r:id="rId7"/>
    <sheet xmlns:r="http://schemas.openxmlformats.org/officeDocument/2006/relationships" name="Secuencias" sheetId="8" state="visible" r:id="rId8"/>
    <sheet xmlns:r="http://schemas.openxmlformats.org/officeDocument/2006/relationships" name="Resumen" sheetId="9" state="visible" r:id="rId9"/>
    <sheet xmlns:r="http://schemas.openxmlformats.org/officeDocument/2006/relationships" name="Problema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5724F"/>
      <sz val="11"/>
    </font>
    <font>
      <name val="Arial"/>
      <charset val="1"/>
      <family val="0"/>
      <b val="1"/>
      <color rgb="FF15724F"/>
      <sz val="12"/>
    </font>
    <font>
      <name val="Arial"/>
      <charset val="1"/>
      <family val="0"/>
      <color rgb="FF1F2A1C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B06A1A"/>
      <sz val="11"/>
    </font>
    <font>
      <name val="Arial"/>
      <charset val="1"/>
      <family val="0"/>
      <color rgb="FF5C6554"/>
      <sz val="8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B06A1A"/>
      <sz val="10"/>
    </font>
    <font>
      <name val="Arial"/>
      <charset val="1"/>
      <family val="0"/>
      <color rgb="FF1F2A1C"/>
      <sz val="9.5"/>
    </font>
    <font>
      <name val="Arial"/>
      <charset val="1"/>
      <family val="0"/>
      <color rgb="FF5C6554"/>
      <sz val="8.5"/>
    </font>
    <font>
      <name val="Arial"/>
      <charset val="1"/>
      <family val="0"/>
      <b val="1"/>
      <color rgb="FF15724F"/>
      <sz val="13"/>
    </font>
    <font>
      <name val="Arial"/>
      <charset val="1"/>
      <family val="0"/>
      <b val="1"/>
      <color rgb="FF1F2A1C"/>
      <sz val="10"/>
    </font>
    <font>
      <name val="Arial"/>
      <charset val="1"/>
      <family val="0"/>
      <color rgb="FF5C6554"/>
      <sz val="9.5"/>
    </font>
    <font>
      <name val="Arial"/>
      <charset val="1"/>
      <family val="0"/>
      <b val="1"/>
      <color rgb="FFB06A1A"/>
      <sz val="12"/>
    </font>
    <font>
      <name val="Arial"/>
      <charset val="1"/>
      <family val="0"/>
      <color rgb="FFB06A1A"/>
      <sz val="9"/>
    </font>
    <font>
      <name val="Arial"/>
      <charset val="1"/>
      <family val="0"/>
      <color rgb="FF5C6554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F2A1C"/>
      <sz val="9"/>
    </font>
    <font>
      <name val="Arial"/>
      <charset val="1"/>
      <family val="0"/>
      <b val="1"/>
      <color rgb="FF15724F"/>
      <sz val="10"/>
    </font>
    <font>
      <name val="Arial"/>
      <charset val="1"/>
      <family val="0"/>
      <color rgb="FF14180F"/>
      <sz val="9.5"/>
    </font>
    <font>
      <name val="Arial"/>
      <charset val="1"/>
      <family val="0"/>
      <b val="1"/>
      <color rgb="FFFFFFFF"/>
      <sz val="9.5"/>
    </font>
    <font>
      <name val="Arial"/>
      <charset val="1"/>
      <family val="0"/>
      <b val="1"/>
      <color rgb="FF14180F"/>
      <sz val="10"/>
    </font>
    <font>
      <name val="Arial"/>
      <charset val="1"/>
      <family val="0"/>
      <color rgb="FF14180F"/>
      <sz val="10"/>
    </font>
    <font>
      <name val="Arial"/>
      <charset val="1"/>
      <family val="0"/>
      <color rgb="FF5C6554"/>
      <sz val="10"/>
    </font>
    <font>
      <name val="Arial"/>
      <charset val="1"/>
      <family val="0"/>
      <b val="1"/>
      <color rgb="FF1F2A1C"/>
      <sz val="11"/>
    </font>
    <font>
      <name val="Arial"/>
      <color rgb="0014180F"/>
      <sz val="9.5"/>
    </font>
  </fonts>
  <fills count="9">
    <fill>
      <patternFill/>
    </fill>
    <fill>
      <patternFill patternType="gray125"/>
    </fill>
    <fill>
      <patternFill patternType="solid">
        <fgColor rgb="FF1F2A1C"/>
        <bgColor rgb="FF14180F"/>
      </patternFill>
    </fill>
    <fill>
      <patternFill patternType="solid">
        <fgColor rgb="FFB06A1A"/>
        <bgColor rgb="FFFF6600"/>
      </patternFill>
    </fill>
    <fill>
      <patternFill patternType="solid">
        <fgColor rgb="FF0F4A33"/>
        <bgColor rgb="FF1F2A1C"/>
      </patternFill>
    </fill>
    <fill>
      <patternFill patternType="solid">
        <fgColor rgb="FFFFF4CF"/>
        <bgColor rgb="FFF4E7D3"/>
      </patternFill>
    </fill>
    <fill>
      <patternFill patternType="solid">
        <fgColor rgb="FFF4E7D3"/>
        <bgColor rgb="FFFFF4CF"/>
      </patternFill>
    </fill>
    <fill>
      <patternFill patternType="solid">
        <fgColor rgb="FFE4EFE7"/>
        <bgColor rgb="FFF4E7D3"/>
      </patternFill>
    </fill>
    <fill>
      <patternFill patternType="solid">
        <fgColor rgb="FF14180F"/>
        <bgColor rgb="FF1F2A1C"/>
      </patternFill>
    </fill>
  </fills>
  <borders count="3">
    <border>
      <left/>
      <right/>
      <top/>
      <bottom/>
      <diagonal/>
    </border>
    <border>
      <left style="thin">
        <color rgb="FFC3C9B6"/>
      </left>
      <right style="thin">
        <color rgb="FFC3C9B6"/>
      </right>
      <top style="thin">
        <color rgb="FFC3C9B6"/>
      </top>
      <bottom style="thin">
        <color rgb="FFC3C9B6"/>
      </bottom>
      <diagonal/>
    </border>
    <border>
      <left style="thin">
        <color rgb="00C3C9B6"/>
      </left>
      <right style="thin">
        <color rgb="00C3C9B6"/>
      </right>
      <top style="thin">
        <color rgb="00C3C9B6"/>
      </top>
      <bottom style="thin">
        <color rgb="00C3C9B6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7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4" fillId="7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14" fillId="6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top" wrapText="1"/>
    </xf>
    <xf numFmtId="0" fontId="14" fillId="6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bottom"/>
    </xf>
    <xf numFmtId="0" fontId="14" fillId="5" borderId="1" applyAlignment="1" pivotButton="0" quotePrefix="0" xfId="0">
      <alignment horizontal="center" vertical="top" wrapText="1"/>
    </xf>
    <xf numFmtId="0" fontId="12" fillId="8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center" vertical="top" wrapText="1"/>
    </xf>
    <xf numFmtId="0" fontId="25" fillId="6" borderId="1" applyAlignment="1" pivotButton="0" quotePrefix="0" xfId="0">
      <alignment horizontal="center" vertical="top" wrapText="1"/>
    </xf>
    <xf numFmtId="0" fontId="25" fillId="6" borderId="1" applyAlignment="1" pivotButton="0" quotePrefix="0" xfId="0">
      <alignment horizontal="left" vertical="top" wrapText="1"/>
    </xf>
    <xf numFmtId="0" fontId="25" fillId="5" borderId="1" applyAlignment="1" pivotButton="0" quotePrefix="0" xfId="0">
      <alignment horizontal="center" vertical="top" wrapText="1"/>
    </xf>
    <xf numFmtId="0" fontId="25" fillId="5" borderId="1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26" fillId="4" borderId="1" applyAlignment="1" pivotButton="0" quotePrefix="0" xfId="0">
      <alignment horizontal="center" vertical="bottom" wrapText="1"/>
    </xf>
    <xf numFmtId="0" fontId="27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center" vertical="bottom"/>
    </xf>
    <xf numFmtId="164" fontId="28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9" fontId="28" fillId="0" borderId="1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9" fontId="24" fillId="0" borderId="1" applyAlignment="1" pivotButton="0" quotePrefix="0" xfId="0">
      <alignment horizontal="center" vertical="bottom"/>
    </xf>
    <xf numFmtId="0" fontId="14" fillId="6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7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top" wrapText="1"/>
    </xf>
    <xf numFmtId="0" fontId="14" fillId="7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 wrapText="1"/>
    </xf>
    <xf numFmtId="0" fontId="14" fillId="6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bottom"/>
    </xf>
    <xf numFmtId="0" fontId="23" fillId="0" borderId="1" applyAlignment="1" pivotButton="0" quotePrefix="0" xfId="0">
      <alignment horizontal="general" vertical="bottom"/>
    </xf>
    <xf numFmtId="0" fontId="31" fillId="0" borderId="2" applyAlignment="1" pivotButton="0" quotePrefix="0" xfId="0">
      <alignment horizontal="center" vertical="top"/>
    </xf>
    <xf numFmtId="0" fontId="14" fillId="0" borderId="2" applyAlignment="1" pivotButton="0" quotePrefix="0" xfId="0">
      <alignment horizontal="center" vertical="top" wrapText="1"/>
    </xf>
    <xf numFmtId="0" fontId="31" fillId="0" borderId="2" applyAlignment="1" pivotButton="0" quotePrefix="0" xfId="0">
      <alignment horizontal="center" vertical="top" wrapText="1"/>
    </xf>
    <xf numFmtId="0" fontId="31" fillId="0" borderId="2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bottom"/>
    </xf>
    <xf numFmtId="0" fontId="12" fillId="8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center" vertical="top" wrapText="1"/>
    </xf>
    <xf numFmtId="0" fontId="25" fillId="6" borderId="1" applyAlignment="1" pivotButton="0" quotePrefix="0" xfId="0">
      <alignment horizontal="center" vertical="top" wrapText="1"/>
    </xf>
    <xf numFmtId="0" fontId="25" fillId="6" borderId="1" applyAlignment="1" pivotButton="0" quotePrefix="0" xfId="0">
      <alignment horizontal="left" vertical="top" wrapText="1"/>
    </xf>
    <xf numFmtId="0" fontId="25" fillId="5" borderId="1" applyAlignment="1" pivotButton="0" quotePrefix="0" xfId="0">
      <alignment horizontal="center" vertical="top" wrapText="1"/>
    </xf>
    <xf numFmtId="0" fontId="25" fillId="5" borderId="1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general" vertical="bottom"/>
    </xf>
    <xf numFmtId="0" fontId="26" fillId="4" borderId="1" applyAlignment="1" pivotButton="0" quotePrefix="0" xfId="0">
      <alignment horizontal="center" vertical="bottom" wrapText="1"/>
    </xf>
    <xf numFmtId="0" fontId="27" fillId="0" borderId="1" applyAlignment="1" pivotButton="0" quotePrefix="0" xfId="0">
      <alignment horizontal="general" vertical="bottom"/>
    </xf>
    <xf numFmtId="0" fontId="28" fillId="0" borderId="1" applyAlignment="1" pivotButton="0" quotePrefix="0" xfId="0">
      <alignment horizontal="center" vertical="bottom"/>
    </xf>
    <xf numFmtId="164" fontId="28" fillId="0" borderId="1" applyAlignment="1" pivotButton="0" quotePrefix="0" xfId="0">
      <alignment horizontal="center" vertical="bottom"/>
    </xf>
    <xf numFmtId="0" fontId="29" fillId="0" borderId="1" applyAlignment="1" pivotButton="0" quotePrefix="0" xfId="0">
      <alignment horizontal="center" vertical="bottom"/>
    </xf>
    <xf numFmtId="9" fontId="28" fillId="0" borderId="1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9" fontId="24" fillId="0" borderId="1" applyAlignment="1" pivotButton="0" quotePrefix="0" xfId="0">
      <alignment horizontal="center" vertical="bottom"/>
    </xf>
    <xf numFmtId="0" fontId="14" fillId="6" borderId="1" applyAlignment="1" pivotButton="0" quotePrefix="0" xfId="0">
      <alignment horizontal="general" vertical="top" wrapText="1"/>
    </xf>
    <xf numFmtId="0" fontId="31" fillId="5" borderId="2" applyAlignment="1" pivotButton="0" quotePrefix="0" xfId="0">
      <alignment vertical="top" wrapText="1"/>
    </xf>
    <xf numFmtId="0" fontId="14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A1A"/>
      <rgbColor rgb="FF800080"/>
      <rgbColor rgb="FF15724F"/>
      <rgbColor rgb="FFC3C9B6"/>
      <rgbColor rgb="FF808080"/>
      <rgbColor rgb="FF9999FF"/>
      <rgbColor rgb="FF993366"/>
      <rgbColor rgb="FFFFF4CF"/>
      <rgbColor rgb="FFE4EF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7D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554"/>
      <rgbColor rgb="FF969696"/>
      <rgbColor rgb="FF0F4A33"/>
      <rgbColor rgb="FF339966"/>
      <rgbColor rgb="FF14180F"/>
      <rgbColor rgb="FF333300"/>
      <rgbColor rgb="FF993300"/>
      <rgbColor rgb="FF993366"/>
      <rgbColor rgb="FF333399"/>
      <rgbColor rgb="FF1F2A1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F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3" min="1" max="1"/>
    <col width="12" customWidth="1" style="73" min="2" max="2"/>
    <col width="20" customWidth="1" style="73" min="3" max="4"/>
    <col width="22" customWidth="1" style="73" min="5" max="5"/>
    <col width="30" customWidth="1" style="73" min="6" max="6"/>
  </cols>
  <sheetData>
    <row r="2" ht="30" customHeight="1" s="74">
      <c r="B2" s="75" t="inlineStr">
        <is>
          <t>TRAZO·XI — Plantilla de codificación (Fase 0)</t>
        </is>
      </c>
    </row>
    <row r="3" ht="15" customHeight="1" s="74">
      <c r="B3" s="76" t="inlineStr">
        <is>
          <t>Cobreloa 1 – 2 Coquimbo Unido · Copa Chile 2026, Octavos (IDA) · 22-09-2026 · Estadio Zorros del Desierto, Calama</t>
        </is>
      </c>
    </row>
    <row r="5" ht="15" customHeight="1" s="74">
      <c r="B5" s="77" t="inlineStr">
        <is>
          <t>Qué es esto</t>
        </is>
      </c>
    </row>
    <row r="6" ht="42" customHeight="1" s="74">
      <c r="B6" s="78" t="inlineStr">
        <is>
          <t>Plantilla lista para que codifiques este partido COMPLETO desde el video de Wyscout. A diferencia del compacto, aquí sí puedes codificar tu capa táctica: pérdidas, presión, reacción ≤5s y apoyos. Empieza por los primeros 15' (ver hoja 'Guía'). Codifica tú; yo calculo e interpreto.</t>
        </is>
      </c>
    </row>
    <row r="8" ht="15" customHeight="1" s="74">
      <c r="B8" s="77" t="inlineStr">
        <is>
          <t>Cómo usarlo</t>
        </is>
      </c>
    </row>
    <row r="9" ht="30" customHeight="1" s="74">
      <c r="B9" s="79" t="inlineStr">
        <is>
          <t>1</t>
        </is>
      </c>
      <c r="C9" s="80" t="inlineStr">
        <is>
          <t>Lee 'Diccionario': 13 etiquetas con criterio de inicio y cierre. Es tu norma de codificación.</t>
        </is>
      </c>
    </row>
    <row r="10" ht="30" customHeight="1" s="74">
      <c r="B10" s="79" t="inlineStr">
        <is>
          <t>2</t>
        </is>
      </c>
      <c r="C10" s="80" t="inlineStr">
        <is>
          <t>Una acción = UNA fila (no codifiques un gol como remate + ocasión + gol). El resultado va en su columna, no en la etiqueta.</t>
        </is>
      </c>
    </row>
    <row r="11" ht="30" customHeight="1" s="74">
      <c r="B11" s="79" t="inlineStr">
        <is>
          <t>3</t>
        </is>
      </c>
      <c r="C11" s="80" t="inlineStr">
        <is>
          <t>Marca SIEMPRE el 'Marcador' (estado del equipo que analizas) y, en las pérdidas, la 'Reacción ≤5s' — ahí se mide tu tesis.</t>
        </is>
      </c>
    </row>
    <row r="12" ht="30" customHeight="1" s="74">
      <c r="B12" s="79" t="inlineStr">
        <is>
          <t>4</t>
        </is>
      </c>
      <c r="C12" s="80" t="inlineStr">
        <is>
          <t>Cuando termines, lee 'Resumen' y completa 'Problemas' con los 3–5 hallazgos ordenados por impacto.</t>
        </is>
      </c>
    </row>
    <row r="14" ht="15" customHeight="1" s="74">
      <c r="B14" s="77" t="inlineStr">
        <is>
          <t>Marcador de este partido (para completar la columna 'Marcador')</t>
        </is>
      </c>
    </row>
    <row r="15" ht="68.25" customHeight="1" s="74">
      <c r="A15" s="81" t="inlineStr">
        <is>
          <t>Minuto</t>
        </is>
      </c>
      <c r="B15" s="81" t="inlineStr">
        <is>
          <t>Minuto</t>
        </is>
      </c>
      <c r="C15" s="81" t="inlineStr">
        <is>
          <t>Marcador (Cob–Coq)</t>
        </is>
      </c>
      <c r="D15" s="81" t="inlineStr">
        <is>
          <t>Estado Cobreloa</t>
        </is>
      </c>
      <c r="E15" s="81" t="inlineStr">
        <is>
          <t>Estado Coquimbo</t>
        </is>
      </c>
      <c r="F15" s="81" t="inlineStr">
        <is>
          <t>Evento</t>
        </is>
      </c>
    </row>
    <row r="16" ht="15" customHeight="1" s="74">
      <c r="B16" s="82" t="inlineStr">
        <is>
          <t>1–63</t>
        </is>
      </c>
      <c r="C16" s="82" t="inlineStr">
        <is>
          <t>0–0</t>
        </is>
      </c>
      <c r="D16" s="82" t="inlineStr">
        <is>
          <t>Empatando</t>
        </is>
      </c>
      <c r="E16" s="82" t="inlineStr">
        <is>
          <t>Empatando</t>
        </is>
      </c>
      <c r="F16" s="83" t="inlineStr">
        <is>
          <t>—</t>
        </is>
      </c>
    </row>
    <row r="17" ht="15" customHeight="1" s="74">
      <c r="B17" s="82" t="inlineStr">
        <is>
          <t>64</t>
        </is>
      </c>
      <c r="C17" s="82" t="inlineStr">
        <is>
          <t>0–1</t>
        </is>
      </c>
      <c r="D17" s="82" t="inlineStr">
        <is>
          <t>Perdiendo</t>
        </is>
      </c>
      <c r="E17" s="82" t="inlineStr">
        <is>
          <t>Ganando</t>
        </is>
      </c>
      <c r="F17" s="83" t="inlineStr">
        <is>
          <t>Gol Cabrera (asist. Vadalá)</t>
        </is>
      </c>
    </row>
    <row r="18" ht="15" customHeight="1" s="74">
      <c r="B18" s="82" t="inlineStr">
        <is>
          <t>70</t>
        </is>
      </c>
      <c r="C18" s="82" t="inlineStr">
        <is>
          <t>1–1</t>
        </is>
      </c>
      <c r="D18" s="82" t="inlineStr">
        <is>
          <t>Empatando</t>
        </is>
      </c>
      <c r="E18" s="82" t="inlineStr">
        <is>
          <t>Empatando</t>
        </is>
      </c>
      <c r="F18" s="83" t="inlineStr">
        <is>
          <t>Gol Orellana (asist. J. Méndez)</t>
        </is>
      </c>
    </row>
    <row r="19" ht="23.25" customHeight="1" s="74">
      <c r="B19" s="82" t="inlineStr">
        <is>
          <t>87</t>
        </is>
      </c>
      <c r="C19" s="82" t="inlineStr">
        <is>
          <t>1–2</t>
        </is>
      </c>
      <c r="D19" s="82" t="inlineStr">
        <is>
          <t>Perdiendo</t>
        </is>
      </c>
      <c r="E19" s="82" t="inlineStr">
        <is>
          <t>Ganando</t>
        </is>
      </c>
      <c r="F19" s="83" t="inlineStr">
        <is>
          <t>Gol del triunfo — autor en conflicto (Gaete a.g. / Y. Blanco)</t>
        </is>
      </c>
    </row>
    <row r="21" ht="15" customHeight="1" s="74">
      <c r="B21" s="77" t="inlineStr">
        <is>
          <t>Qué mirar en este partido</t>
        </is>
      </c>
    </row>
    <row r="22" ht="57.75" customHeight="1" s="74">
      <c r="B22" s="78" t="inlineStr">
        <is>
          <t>Coquimbo (líder de su grupo) ganó de visita en Calama con el golazo de Cabrera —lateral izquierdo que define de primera— y un gol del triunfo sobre el final. Codifica pensando en la VUELTA del 07-10 en Coquimbo: ¿cómo generó Coquimbo?, ¿cómo le empató Cobreloa (70')?, ¿qué patrón defensivo conviene repetir o corregir? Ese es el valor directo de esta codificación.</t>
        </is>
      </c>
    </row>
    <row r="24" ht="15" customHeight="1" s="74">
      <c r="B24" s="84" t="inlineStr">
        <is>
          <t>Nota honesta sobre los datos</t>
        </is>
      </c>
    </row>
    <row r="25" ht="57.75" customHeight="1" s="74">
      <c r="B25" s="78" t="inlineStr">
        <is>
          <t>El contexto y las alineaciones vienen de CFDB, pero con huecos: las alineaciones están incompletas (Cobreloa con 9 titulares, Coquimbo con 10) y el gol del 87' NO está en el feed de eventos; además dos fuentes de prensa discrepan sobre su autor (autogol de B. Gaete / el juvenil Y. Blanco). Todo eso lo confirmas y completas tú desde el video de Wyscout — es justo la ventaja de tenerlo.</t>
        </is>
      </c>
    </row>
    <row r="27" ht="15" customHeight="1" s="74">
      <c r="B27" s="76" t="inlineStr">
        <is>
          <t>Leyenda de colores</t>
        </is>
      </c>
    </row>
    <row r="28" ht="15" customHeight="1" s="74">
      <c r="B28" s="85" t="inlineStr">
        <is>
          <t xml:space="preserve">  </t>
        </is>
      </c>
      <c r="C28" s="86" t="inlineStr">
        <is>
          <t>Celdas que completas tú</t>
        </is>
      </c>
    </row>
    <row r="29" ht="15" customHeight="1" s="74">
      <c r="B29" s="87" t="inlineStr">
        <is>
          <t xml:space="preserve">  </t>
        </is>
      </c>
      <c r="C29" s="86" t="inlineStr">
        <is>
          <t>Filas de ejemplo (reales del partido) — reemplázalas o sigue debajo</t>
        </is>
      </c>
    </row>
    <row r="31" ht="15" customHeight="1" s="74">
      <c r="B31" s="88" t="inlineStr">
        <is>
          <t>Fuente de datos: CFDB (Chilean Football DATABASE), fixture 56114 — alineaciones (parciales), eventos y notas de prensa (partidos-de-hoy.cl, cooperativa.cl). Video: Wyscout (en poder del usuario).</t>
        </is>
      </c>
    </row>
  </sheetData>
  <mergeCells count="13">
    <mergeCell ref="B21:F21"/>
    <mergeCell ref="C9:F9"/>
    <mergeCell ref="B6:F6"/>
    <mergeCell ref="B24:F24"/>
    <mergeCell ref="B2:F2"/>
    <mergeCell ref="B25:F25"/>
    <mergeCell ref="C12:F12"/>
    <mergeCell ref="B3:F3"/>
    <mergeCell ref="B31:F31"/>
    <mergeCell ref="C11:F11"/>
    <mergeCell ref="B14:F14"/>
    <mergeCell ref="C10:F10"/>
    <mergeCell ref="B22:F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3" min="1" max="1"/>
    <col width="20" customWidth="1" style="73" min="2" max="6"/>
  </cols>
  <sheetData>
    <row r="2" ht="25.5" customHeight="1" s="74">
      <c r="B2" s="89" t="inlineStr">
        <is>
          <t>Guía — tu primera pasada de codificación (15 minutos)</t>
        </is>
      </c>
    </row>
    <row r="3" ht="30" customHeight="1" s="74">
      <c r="B3" s="78" t="inlineStr">
        <is>
          <t>Tienes el partido completo de Wyscout. No lo codifiques entero de golpe: haz una primera pasada de los primeros 15' para calibrar el método y ver tu instrumento de tesis encenderse.</t>
        </is>
      </c>
    </row>
    <row r="5" ht="15" customHeight="1" s="74">
      <c r="B5" s="90" t="inlineStr">
        <is>
          <t>Pasos</t>
        </is>
      </c>
    </row>
    <row r="6" ht="25.5" customHeight="1" s="74">
      <c r="B6" s="78" t="inlineStr">
        <is>
          <t>1.  Abre el video y esta plantilla lado a lado (pantalla dividida).</t>
        </is>
      </c>
    </row>
    <row r="7" ht="25.5" customHeight="1" s="74">
      <c r="B7" s="78" t="inlineStr">
        <is>
          <t>2.  Codifica SOLO del minuto 1 al 15. Por cada acción relevante, una fila en 'Registro'.</t>
        </is>
      </c>
    </row>
    <row r="8" ht="25.5" customHeight="1" s="74">
      <c r="B8" s="78" t="inlineStr">
        <is>
          <t>3.  Prioriza lo que el compacto no te daba: Pérdidas, Recuperaciones (altura), Presión y Finalizaciones/Ocasiones. La progresión fina déjala para una 2.ª pasada.</t>
        </is>
      </c>
    </row>
    <row r="9" ht="25.5" customHeight="1" s="74">
      <c r="B9" s="78" t="inlineStr">
        <is>
          <t>4.  Marca SIEMPRE Marcador (Coquimbo) y Zona. En cada Pérdida completa la Reacción ≤5s y los Apoyos — ese es tu instrumento.</t>
        </is>
      </c>
    </row>
    <row r="10" ht="25.5" customHeight="1" s="74">
      <c r="B10" s="78" t="inlineStr">
        <is>
          <t>5.  Ante la duda, abre 'Reglas' (presión vs marca; rompe línea; reacción ordenada). No 'sientas' la jugada: sigue el árbol.</t>
        </is>
      </c>
    </row>
    <row r="11" ht="25.5" customHeight="1" s="74">
      <c r="B11" s="78" t="inlineStr">
        <is>
          <t>6.  Pausa y retrocede sin culpa: ver el juego SIN balón es justo lo que no podías con el compacto.</t>
        </is>
      </c>
    </row>
    <row r="12" ht="25.5" customHeight="1" s="74">
      <c r="B12" s="78" t="inlineStr">
        <is>
          <t>7.  Al terminar los 15', mira 'Resumen': ¿cuántas pérdidas?, ¿tasa de recuperación ≤5s?, ¿se puebla el cruce por marcador?</t>
        </is>
      </c>
    </row>
    <row r="14" ht="25.5" customHeight="1" s="74">
      <c r="B14" s="91" t="inlineStr">
        <is>
          <t>Tiempo realista: 45–60 min para codificar 15' la primera vez. Es normal; baja mucho con la práctica.</t>
        </is>
      </c>
    </row>
    <row r="16" ht="33.75" customHeight="1" s="74">
      <c r="B16" s="92" t="inlineStr">
        <is>
          <t>Y después: cuando tengas los 15' (o el partido completo), envíame el Excel. Yo calculo el Point-Biserial (Apoyos vs Recuperada ≤5s), los resúmenes por marcador y la lectura táctica para la vuelta del 07-10.</t>
        </is>
      </c>
    </row>
  </sheetData>
  <mergeCells count="12">
    <mergeCell ref="B12:F12"/>
    <mergeCell ref="B7:F7"/>
    <mergeCell ref="B6:F6"/>
    <mergeCell ref="B2:F2"/>
    <mergeCell ref="B16:F16"/>
    <mergeCell ref="B10:F10"/>
    <mergeCell ref="B11:F11"/>
    <mergeCell ref="B3:F3"/>
    <mergeCell ref="B5:F5"/>
    <mergeCell ref="B14:F14"/>
    <mergeCell ref="B8:F8"/>
    <mergeCell ref="B9:F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73" min="1" max="1"/>
    <col width="21" customWidth="1" style="73" min="2" max="2"/>
    <col width="36" customWidth="1" style="73" min="3" max="3"/>
    <col width="22" customWidth="1" style="73" min="4" max="5"/>
    <col width="28" customWidth="1" style="73" min="6" max="6"/>
    <col width="6" customWidth="1" style="73" min="7" max="7"/>
    <col width="40" customWidth="1" style="73" min="8" max="8"/>
  </cols>
  <sheetData>
    <row r="1" ht="15" customHeight="1" s="74">
      <c r="A1" s="81" t="inlineStr">
        <is>
          <t>Grupo</t>
        </is>
      </c>
      <c r="B1" s="81" t="inlineStr">
        <is>
          <t>Etiqueta</t>
        </is>
      </c>
      <c r="C1" s="81" t="inlineStr">
        <is>
          <t>Definición operacional</t>
        </is>
      </c>
      <c r="D1" s="81" t="inlineStr">
        <is>
          <t>Inicio</t>
        </is>
      </c>
      <c r="E1" s="81" t="inlineStr">
        <is>
          <t>Cierre</t>
        </is>
      </c>
      <c r="F1" s="81" t="inlineStr">
        <is>
          <t>Variables asociadas</t>
        </is>
      </c>
      <c r="G1" s="81" t="inlineStr">
        <is>
          <t>Subj.</t>
        </is>
      </c>
      <c r="H1" s="81" t="inlineStr">
        <is>
          <t>Lectura táctica</t>
        </is>
      </c>
    </row>
    <row r="2" ht="51.75" customHeight="1" s="74">
      <c r="A2" s="93" t="inlineStr">
        <is>
          <t>Org. ofensiva</t>
        </is>
      </c>
      <c r="B2" s="94" t="inlineStr">
        <is>
          <t>Inicio / Salida</t>
        </is>
      </c>
      <c r="C2" s="94" t="inlineStr">
        <is>
          <t>Construcción con posesión desde el 1.er tercio propio</t>
        </is>
      </c>
      <c r="D2" s="94" t="inlineStr">
        <is>
          <t>1.er contacto en zona propia</t>
        </is>
      </c>
      <c r="E2" s="94" t="inlineStr">
        <is>
          <t>Supera el 1.er tercio o pérdida</t>
        </is>
      </c>
      <c r="F2" s="94" t="inlineStr">
        <is>
          <t>Jugador · bajo presión (sí/no) · nº pases</t>
        </is>
      </c>
      <c r="G2" s="95" t="inlineStr">
        <is>
          <t>M</t>
        </is>
      </c>
      <c r="H2" s="94" t="inlineStr">
        <is>
          <t>¿Supera la 1.ª línea de presión? Riesgo en construcción</t>
        </is>
      </c>
    </row>
    <row r="3" ht="51.75" customHeight="1" s="74">
      <c r="A3" s="93" t="inlineStr">
        <is>
          <t>Org. ofensiva</t>
        </is>
      </c>
      <c r="B3" s="94" t="inlineStr">
        <is>
          <t>Progresión</t>
        </is>
      </c>
      <c r="C3" s="94" t="inlineStr">
        <is>
          <t>Pase/conducción en 2.º–3.er tercio que deja atrás ≥1 rival de una línea (rompe línea=Sí) o gana un tercio conduciendo (No)</t>
        </is>
      </c>
      <c r="D3" s="94" t="inlineStr">
        <is>
          <t>Contacto que inicia el avance</t>
        </is>
      </c>
      <c r="E3" s="94" t="inlineStr">
        <is>
          <t>Recepción tras la línea / fin de conducción / pérdida</t>
        </is>
      </c>
      <c r="F3" s="94" t="inlineStr">
        <is>
          <t>Rompe línea (col) · carril · VER hoja Reglas</t>
        </is>
      </c>
      <c r="G3" s="95" t="inlineStr">
        <is>
          <t>M</t>
        </is>
      </c>
      <c r="H3" s="94" t="inlineStr">
        <is>
          <t>Precedencia: Finalización &gt; Último pase &gt; Progresión &gt; Inicio</t>
        </is>
      </c>
    </row>
    <row r="4" ht="51.75" customHeight="1" s="74">
      <c r="A4" s="93" t="inlineStr">
        <is>
          <t>Org. ofensiva</t>
        </is>
      </c>
      <c r="B4" s="94" t="inlineStr">
        <is>
          <t>Último pase / Centro</t>
        </is>
      </c>
      <c r="C4" s="94" t="inlineStr">
        <is>
          <t>Balón al área o pase que genera remate</t>
        </is>
      </c>
      <c r="D4" s="94" t="inlineStr">
        <is>
          <t>Golpeo/pase final</t>
        </is>
      </c>
      <c r="E4" s="94" t="inlineStr">
        <is>
          <t>Remate, despeje o corte</t>
        </is>
      </c>
      <c r="F4" s="94" t="inlineStr">
        <is>
          <t>Lado · zona objetivo · tipo</t>
        </is>
      </c>
      <c r="G4" s="95" t="inlineStr">
        <is>
          <t>B</t>
        </is>
      </c>
      <c r="H4" s="94" t="inlineStr">
        <is>
          <t>Vía de generación; conexión creación–finalización</t>
        </is>
      </c>
    </row>
    <row r="5" ht="51.75" customHeight="1" s="74">
      <c r="A5" s="93" t="inlineStr">
        <is>
          <t>Org. ofensiva</t>
        </is>
      </c>
      <c r="B5" s="94" t="inlineStr">
        <is>
          <t>Finalización</t>
        </is>
      </c>
      <c r="C5" s="94" t="inlineStr">
        <is>
          <t>Remate a puerta (o intento claro de gol)</t>
        </is>
      </c>
      <c r="D5" s="94" t="inlineStr">
        <is>
          <t>Contacto de remate</t>
        </is>
      </c>
      <c r="E5" s="94" t="inlineStr">
        <is>
          <t>Según Resultado (col)</t>
        </is>
      </c>
      <c r="F5" s="94" t="inlineStr">
        <is>
          <t>Zona · pie/cabeza</t>
        </is>
      </c>
      <c r="G5" s="95" t="inlineStr">
        <is>
          <t>M</t>
        </is>
      </c>
      <c r="H5" s="94" t="inlineStr">
        <is>
          <t>Volumen Y calidad. gol/ocasión/parada/fuera van en Resultado, no en etiquetas aparte</t>
        </is>
      </c>
    </row>
    <row r="6" ht="51.75" customHeight="1" s="74">
      <c r="A6" s="93" t="inlineStr">
        <is>
          <t>Trans. ofensiva</t>
        </is>
      </c>
      <c r="B6" s="94" t="inlineStr">
        <is>
          <t>Recuperación</t>
        </is>
      </c>
      <c r="C6" s="94" t="inlineStr">
        <is>
          <t>Recobro de la posesión</t>
        </is>
      </c>
      <c r="D6" s="94" t="inlineStr">
        <is>
          <t>Robo / corte / despeje ganado</t>
        </is>
      </c>
      <c r="E6" s="94" t="inlineStr">
        <is>
          <t>Posesión asegurada</t>
        </is>
      </c>
      <c r="F6" s="94" t="inlineStr">
        <is>
          <t>Altura (alta/media/baja) · tipo</t>
        </is>
      </c>
      <c r="G6" s="95" t="inlineStr">
        <is>
          <t>M</t>
        </is>
      </c>
      <c r="H6" s="94" t="inlineStr">
        <is>
          <t>DÓNDE recupera el bloque (sesgo del equipo)</t>
        </is>
      </c>
    </row>
    <row r="7" ht="51.75" customHeight="1" s="74">
      <c r="A7" s="93" t="inlineStr">
        <is>
          <t>Trans. ofensiva</t>
        </is>
      </c>
      <c r="B7" s="94" t="inlineStr">
        <is>
          <t>Ataque en transición</t>
        </is>
      </c>
      <c r="C7" s="94" t="inlineStr">
        <is>
          <t>Ataque directo tras recuperar, con el rival sin organizar (≤~10 s / ≤~4 pases)</t>
        </is>
      </c>
      <c r="D7" s="94" t="inlineStr">
        <is>
          <t>Recuperación seguida de avance SIN pase de reset</t>
        </is>
      </c>
      <c r="E7" s="94" t="inlineStr">
        <is>
          <t>Remate / pérdida / pase de reset / rival ya organizado</t>
        </is>
      </c>
      <c r="F7" s="94" t="inlineStr">
        <is>
          <t>Termina en remate (sí/no) · VER hoja Reglas</t>
        </is>
      </c>
      <c r="G7" s="95" t="inlineStr">
        <is>
          <t>M</t>
        </is>
      </c>
      <c r="H7" s="94" t="inlineStr">
        <is>
          <t>El pase de reset cierra la transición → pasa a ataque posicional</t>
        </is>
      </c>
    </row>
    <row r="8" ht="51.75" customHeight="1" s="74">
      <c r="A8" s="93" t="inlineStr">
        <is>
          <t>Org. defensiva</t>
        </is>
      </c>
      <c r="B8" s="94" t="inlineStr">
        <is>
          <t>Presión</t>
        </is>
      </c>
      <c r="C8" s="94" t="inlineStr">
        <is>
          <t>Cerrar activamente al poseedor/receptor (≤~2 m, con intención de disputar) para quitar tiempo/espacio</t>
        </is>
      </c>
      <c r="D8" s="94" t="inlineStr">
        <is>
          <t>El defensor rompe posición para cerrar al poseedor</t>
        </is>
      </c>
      <c r="E8" s="94" t="inlineStr">
        <is>
          <t>Pasa / pierde / falta / supera (≤4 s)</t>
        </is>
      </c>
      <c r="F8" s="94" t="inlineStr">
        <is>
          <t>Altura por zona · orientada · resultado · VER hoja Reglas</t>
        </is>
      </c>
      <c r="G8" s="95" t="inlineStr">
        <is>
          <t>M</t>
        </is>
      </c>
      <c r="H8" s="94" t="inlineStr">
        <is>
          <t>Eje de tu modelo. La contrapresión NO va aquí: va en Reacción de la Pérdida</t>
        </is>
      </c>
    </row>
    <row r="9" ht="51.75" customHeight="1" s="74">
      <c r="A9" s="93" t="inlineStr">
        <is>
          <t>Org. defensiva</t>
        </is>
      </c>
      <c r="B9" s="94" t="inlineStr">
        <is>
          <t>Acción defensiva</t>
        </is>
      </c>
      <c r="C9" s="94" t="inlineStr">
        <is>
          <t>Intercepción, entrada, despeje o duelo defensivo</t>
        </is>
      </c>
      <c r="D9" s="94" t="inlineStr">
        <is>
          <t>Intervención sobre balón/rival</t>
        </is>
      </c>
      <c r="E9" s="94" t="inlineStr">
        <is>
          <t>Resultado de la acción</t>
        </is>
      </c>
      <c r="F9" s="94" t="inlineStr">
        <is>
          <t>Tipo · zona · ganado/perdido</t>
        </is>
      </c>
      <c r="G9" s="95" t="inlineStr">
        <is>
          <t>M</t>
        </is>
      </c>
      <c r="H9" s="94" t="inlineStr">
        <is>
          <t>Fiabilidad individual; absorbe el antiguo 'duelo'</t>
        </is>
      </c>
    </row>
    <row r="10" ht="51.75" customHeight="1" s="74">
      <c r="A10" s="93" t="inlineStr">
        <is>
          <t>Org. defensiva</t>
        </is>
      </c>
      <c r="B10" s="94" t="inlineStr">
        <is>
          <t>Defensa del área</t>
        </is>
      </c>
      <c r="C10" s="94" t="inlineStr">
        <is>
          <t>Respuesta a centro o balón al área</t>
        </is>
      </c>
      <c r="D10" s="94" t="inlineStr">
        <is>
          <t>Balón amenaza el área</t>
        </is>
      </c>
      <c r="E10" s="94" t="inlineStr">
        <is>
          <t>Despeje, remate o gol</t>
        </is>
      </c>
      <c r="F10" s="94" t="inlineStr">
        <is>
          <t>1.er contacto · marcaje</t>
        </is>
      </c>
      <c r="G10" s="95" t="inlineStr">
        <is>
          <t>M</t>
        </is>
      </c>
      <c r="H10" s="94" t="inlineStr">
        <is>
          <t>Solidez en remate; patrón de concesión</t>
        </is>
      </c>
    </row>
    <row r="11" ht="51.75" customHeight="1" s="74">
      <c r="A11" s="93" t="inlineStr">
        <is>
          <t>Trans. defensiva</t>
        </is>
      </c>
      <c r="B11" s="94" t="inlineStr">
        <is>
          <t>Pérdida</t>
        </is>
      </c>
      <c r="C11" s="94" t="inlineStr">
        <is>
          <t>Pérdida de la posesión</t>
        </is>
      </c>
      <c r="D11" s="94" t="inlineStr">
        <is>
          <t>Instante de la pérdida</t>
        </is>
      </c>
      <c r="E11" s="94" t="inlineStr">
        <is>
          <t>Según la Reacción (reglas ordenadas)</t>
        </is>
      </c>
      <c r="F11" s="94" t="inlineStr">
        <is>
          <t>REACCIÓN ≤5s (col) · Apoyos al perder (col) · VER hoja Reglas</t>
        </is>
      </c>
      <c r="G11" s="95" t="inlineStr">
        <is>
          <t>M</t>
        </is>
      </c>
      <c r="H11" s="94" t="inlineStr">
        <is>
          <t>El corazón de tu tesis. Reacción = salida binaria; Apoyos = predictor continuo (Point-Biserial)</t>
        </is>
      </c>
    </row>
    <row r="12" ht="51.75" customHeight="1" s="74">
      <c r="A12" s="93" t="inlineStr">
        <is>
          <t>ABP</t>
        </is>
      </c>
      <c r="B12" s="94" t="inlineStr">
        <is>
          <t>ABP ofensivo</t>
        </is>
      </c>
      <c r="C12" s="94" t="inlineStr">
        <is>
          <t>Córner, falta, lateral o penal a favor</t>
        </is>
      </c>
      <c r="D12" s="94" t="inlineStr">
        <is>
          <t>Ejecución</t>
        </is>
      </c>
      <c r="E12" s="94" t="inlineStr">
        <is>
          <t>Despeje / remate / fin</t>
        </is>
      </c>
      <c r="F12" s="94" t="inlineStr">
        <is>
          <t>Tipo · lado · envío · 1.er contacto</t>
        </is>
      </c>
      <c r="G12" s="95" t="inlineStr">
        <is>
          <t>M</t>
        </is>
      </c>
      <c r="H12" s="94" t="inlineStr">
        <is>
          <t>Eficacia a balón parado; segundas jugadas</t>
        </is>
      </c>
    </row>
    <row r="13" ht="51.75" customHeight="1" s="74">
      <c r="A13" s="93" t="inlineStr">
        <is>
          <t>ABP</t>
        </is>
      </c>
      <c r="B13" s="94" t="inlineStr">
        <is>
          <t>ABP defensivo</t>
        </is>
      </c>
      <c r="C13" s="94" t="inlineStr">
        <is>
          <t>Córner, falta, lateral o penal en contra</t>
        </is>
      </c>
      <c r="D13" s="94" t="inlineStr">
        <is>
          <t>Ejecución rival</t>
        </is>
      </c>
      <c r="E13" s="94" t="inlineStr">
        <is>
          <t>Despeje / remate / gol</t>
        </is>
      </c>
      <c r="F13" s="94" t="inlineStr">
        <is>
          <t>Sistema · 1.er contacto · 2.ª jugada</t>
        </is>
      </c>
      <c r="G13" s="95" t="inlineStr">
        <is>
          <t>M</t>
        </is>
      </c>
      <c r="H13" s="94" t="inlineStr">
        <is>
          <t>Organización y concesión a balón parado</t>
        </is>
      </c>
    </row>
    <row r="14" ht="51.75" customHeight="1" s="74">
      <c r="A14" s="93" t="inlineStr">
        <is>
          <t>Contexto</t>
        </is>
      </c>
      <c r="B14" s="94" t="inlineStr">
        <is>
          <t>Incidencia</t>
        </is>
      </c>
      <c r="C14" s="94" t="inlineStr">
        <is>
          <t>Tarjeta, cambio, lesión o penal señalado</t>
        </is>
      </c>
      <c r="D14" s="94" t="inlineStr">
        <is>
          <t>El hecho</t>
        </is>
      </c>
      <c r="E14" s="94" t="inlineStr">
        <is>
          <t>—</t>
        </is>
      </c>
      <c r="F14" s="94" t="inlineStr">
        <is>
          <t>Tipo · jugador · minuto</t>
        </is>
      </c>
      <c r="G14" s="95" t="inlineStr">
        <is>
          <t>B</t>
        </is>
      </c>
      <c r="H14" s="94" t="inlineStr">
        <is>
          <t>Marca el contexto; no es acción de juego</t>
        </is>
      </c>
    </row>
    <row r="16" ht="15" customHeight="1" s="74">
      <c r="A16" s="96" t="inlineStr">
        <is>
          <t>Subj. = nivel de subjetividad al codificar (B baja / M media / A alta). Las dos de mayor subjetividad —Presión y Progresión— tienen reglas de decisión en la hoja 'Reglas', que las bajan de Alta a Media.</t>
        </is>
      </c>
    </row>
  </sheetData>
  <mergeCells count="1">
    <mergeCell ref="A16:H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F7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3" min="1" max="1"/>
    <col width="20" customWidth="1" style="73" min="2" max="6"/>
  </cols>
  <sheetData>
    <row r="2" ht="25.5" customHeight="1" s="74">
      <c r="B2" s="89" t="inlineStr">
        <is>
          <t>Reglas de decisión — las dos etiquetas de alta subjetividad</t>
        </is>
      </c>
    </row>
    <row r="3" ht="30" customHeight="1" s="74">
      <c r="B3" s="78" t="inlineStr">
        <is>
          <t>Estas dos son las que más disienten entre analistas. Aquí quedan decididas: sigue el árbol, no 'sientas' la jugada. Con estas reglas bajan de subjetividad Alta a Media.</t>
        </is>
      </c>
    </row>
    <row r="5" ht="15.75" customHeight="1" s="74">
      <c r="B5" s="97" t="inlineStr">
        <is>
          <t>REGLA DE PRECEDENCIA (ofensiva) — resuelve el solapamiento</t>
        </is>
      </c>
    </row>
    <row r="6" ht="30" customHeight="1" s="74">
      <c r="B6" s="91" t="inlineStr">
        <is>
          <t>Cuando una acción encaja en varias etiquetas ofensivas, codifica la MÁS avanzada y solo esa:  Finalización  &gt;  Último pase/Centro  &gt;  Progresión  &gt;  Inicio/Salida.  Una acción = una fila.</t>
        </is>
      </c>
    </row>
    <row r="8" ht="19.5" customHeight="1" s="74">
      <c r="B8" s="98" t="inlineStr">
        <is>
          <t>PROGRESIÓN</t>
        </is>
      </c>
    </row>
    <row r="9" ht="30" customHeight="1" s="74">
      <c r="B9" s="78" t="inlineStr">
        <is>
          <t>Qué es: pase o conducción que, en el 2.º o 3.er tercio, deja atrás a ≥1 rival de una línea defensiva (Rompe línea = Sí) o gana un tercio conduciendo en espacio (Rompe línea = No).</t>
        </is>
      </c>
    </row>
    <row r="10" ht="25.5" customHeight="1" s="74">
      <c r="B10" s="78" t="inlineStr">
        <is>
          <t>Línea defensiva = ≥2 rivales alineados horizontalmente entre el balón y la portería rival, en forma defensiva.</t>
        </is>
      </c>
    </row>
    <row r="11" ht="15" customHeight="1" s="74">
      <c r="B11" s="99" t="inlineStr">
        <is>
          <t>Árbol de decisión:</t>
        </is>
      </c>
    </row>
    <row r="12" ht="25.5" customHeight="1" s="74">
      <c r="B12" s="78" t="inlineStr">
        <is>
          <t>1.  ¿El balón avanza neto hacia la portería rival?  No → circulación, no es Progresión.</t>
        </is>
      </c>
    </row>
    <row r="13" ht="25.5" customHeight="1" s="74">
      <c r="B13" s="78" t="inlineStr">
        <is>
          <t>2.  ¿Termina en remate, o es el pase/centro que genera el remate?  Sí → Finalización o Último pase (no Progresión).</t>
        </is>
      </c>
    </row>
    <row r="14" ht="25.5" customHeight="1" s="74">
      <c r="B14" s="78" t="inlineStr">
        <is>
          <t>3.  ¿Ocurre en tu 1.er tercio (Z1–6)?  Sí → Inicio/Salida.</t>
        </is>
      </c>
    </row>
    <row r="15" ht="25.5" customHeight="1" s="74">
      <c r="B15" s="78" t="inlineStr">
        <is>
          <t>4.  ¿Deja atrás a ≥1 rival de una línea?  Sí → Progresión · Rompe línea = Sí.</t>
        </is>
      </c>
    </row>
    <row r="16" ht="25.5" customHeight="1" s="74">
      <c r="B16" s="78" t="inlineStr">
        <is>
          <t>5.  ¿No supera línea pero gana un tercio conduciendo en espacio?  Sí → Progresión · Rompe línea = No.</t>
        </is>
      </c>
    </row>
    <row r="17" ht="25.5" customHeight="1" s="74">
      <c r="B17" s="78" t="inlineStr">
        <is>
          <t>6.  Si nada de lo anterior → no se codifica como Progresión.</t>
        </is>
      </c>
    </row>
    <row r="18" ht="25.5" customHeight="1" s="74">
      <c r="B18" s="100" t="inlineStr">
        <is>
          <t>Conducción: cuenta si cruza la referencia horizontal de una línea, o si pasa de una banda de zonas a la siguiente más adelantada con el balón controlado.</t>
        </is>
      </c>
    </row>
    <row r="19" ht="15" customHeight="1" s="74">
      <c r="B19" s="99" t="inlineStr">
        <is>
          <t>Casos resueltos (de este partido):</t>
        </is>
      </c>
    </row>
    <row r="20" ht="27.75" customHeight="1" s="74">
      <c r="B20" s="101" t="inlineStr">
        <is>
          <t>• Gol de Vargas (63'): recibe al borde, deja a un rival y remata → Finalización. La conducción que supera al rival NO se codifica aparte (precedencia).</t>
        </is>
      </c>
    </row>
    <row r="21" ht="27.75" customHeight="1" s="74">
      <c r="B21" s="101" t="inlineStr">
        <is>
          <t>• Gol de Chandía (71'): pase de Rodríguez a la espalda de la última línea que genera el gol → Último pase/Centro (no Progresión), con Rompe línea = Sí en la nota.</t>
        </is>
      </c>
    </row>
    <row r="22" ht="27.75" customHeight="1" s="74">
      <c r="B22" s="101" t="inlineStr">
        <is>
          <t>• Pase del pivote a un interior entre líneas en campo medio → Progresión · Rompe línea = Sí.</t>
        </is>
      </c>
    </row>
    <row r="23" ht="27.75" customHeight="1" s="74">
      <c r="B23" s="101" t="inlineStr">
        <is>
          <t>• Cambio de orientación largo que no deja a nadie atrás → Progresión solo si gana un tercio (Rompe línea = No); si no, circulación.</t>
        </is>
      </c>
    </row>
    <row r="25" ht="19.5" customHeight="1" s="74">
      <c r="B25" s="98" t="inlineStr">
        <is>
          <t>PRESIÓN</t>
        </is>
      </c>
    </row>
    <row r="26" ht="30" customHeight="1" s="74">
      <c r="B26" s="78" t="inlineStr">
        <is>
          <t>Qué es: cerrar activamente al poseedor (o al receptor inminente), a ~2 m o menos y con intención de disputar, para quitarle tiempo/espacio y forzar robo, error o balón atrás/largo.</t>
        </is>
      </c>
    </row>
    <row r="27" ht="25.5" customHeight="1" s="74">
      <c r="B27" s="78" t="inlineStr">
        <is>
          <t>NO es: marcar a un jugador sin balón; contención/jockey sin aproximarse; repliegue.</t>
        </is>
      </c>
    </row>
    <row r="28" ht="15" customHeight="1" s="74">
      <c r="B28" s="99" t="inlineStr">
        <is>
          <t>Árbol de decisión:</t>
        </is>
      </c>
    </row>
    <row r="29" ht="25.5" customHeight="1" s="74">
      <c r="B29" s="78" t="inlineStr">
        <is>
          <t>1.  ¿Un defensor cierra activamente al poseedor/receptor con intención de disputar?  No → marca/contención, no es Presión.</t>
        </is>
      </c>
    </row>
    <row r="30" ht="25.5" customHeight="1" s="74">
      <c r="B30" s="78" t="inlineStr">
        <is>
          <t>2.  ¿Es ≤5 s después de TU propia pérdida?  Sí → NO se codifica como Presión; va en la 'Reacción' de esa Pérdida (evita doble conteo).</t>
        </is>
      </c>
    </row>
    <row r="31" ht="25.5" customHeight="1" s="74">
      <c r="B31" s="78" t="inlineStr">
        <is>
          <t>3.  Presión en posesión asentada del rival → codifícala, con los tres atributos de abajo.</t>
        </is>
      </c>
    </row>
    <row r="32" ht="25.5" customHeight="1" s="74">
      <c r="B32" s="78" t="inlineStr">
        <is>
          <t xml:space="preserve">     · Altura (por la ZONA del balón al inicio):  Alta = Z13–18  ·  Media = Z7–12  ·  Baja = Z1–6.</t>
        </is>
      </c>
    </row>
    <row r="33" ht="25.5" customHeight="1" s="74">
      <c r="B33" s="78" t="inlineStr">
        <is>
          <t xml:space="preserve">     · Orientada:  Sí = cierra una línea de pase con el cuerpo/trayectoria curva para empujar a una banda o trampa;  No = presión directa al balón.</t>
        </is>
      </c>
    </row>
    <row r="34" ht="25.5" customHeight="1" s="74">
      <c r="B34" s="78" t="inlineStr">
        <is>
          <t xml:space="preserve">     · Resultado (desenlace en ≤4 s):  Robo · Falta · Superada.</t>
        </is>
      </c>
    </row>
    <row r="35" ht="27.75" customHeight="1" s="74">
      <c r="B35" s="100" t="inlineStr">
        <is>
          <t>Borde con Acción defensiva: si el robo nace de la aproximación de presión → Presión (Resultado = Robo). Si es una intercepción pasiva sin cierre previo → Acción defensiva.</t>
        </is>
      </c>
    </row>
    <row r="36" ht="15" customHeight="1" s="74">
      <c r="B36" s="99" t="inlineStr">
        <is>
          <t>Casos resueltos:</t>
        </is>
      </c>
    </row>
    <row r="37" ht="27.75" customHeight="1" s="74">
      <c r="B37" s="101" t="inlineStr">
        <is>
          <t>• Central rival se acerca a 3 m del conductor sin cerrar → NO es Presión (contención; &gt;2 m, sin disputa).</t>
        </is>
      </c>
    </row>
    <row r="38" ht="27.75" customHeight="1" s="74">
      <c r="B38" s="101" t="inlineStr">
        <is>
          <t>• Delantero cierra al central cortando el pase interior y lo empuja a la banda → Presión · Alta · Orientada = Sí · Resultado = Superada o Robo.</t>
        </is>
      </c>
    </row>
    <row r="39" ht="27.75" customHeight="1" s="74">
      <c r="B39" s="101" t="inlineStr">
        <is>
          <t>• Pierdes en Z11 y recuperas en 3 s → Pérdida con Reacción = Recuperada ≤5s (NO Presión).</t>
        </is>
      </c>
    </row>
    <row r="41" ht="19.5" customHeight="1" s="74">
      <c r="B41" s="98" t="inlineStr">
        <is>
          <t>ATAQUE EN TRANSICIÓN</t>
        </is>
      </c>
    </row>
    <row r="42" ht="27.75" customHeight="1" s="74">
      <c r="B42" s="78" t="inlineStr">
        <is>
          <t>Qué es: ataque directo tras recuperar, mientras el rival NO está organizado (≤~10 s o ≤~4 pases hasta llegar al último tercio).</t>
        </is>
      </c>
    </row>
    <row r="43" ht="31.5" customHeight="1" s="74">
      <c r="B43" s="78" t="inlineStr">
        <is>
          <t>Dónde termina (vuelve a ser ataque posicional): cuando juegas un pase de reset (atrás/lateral de seguridad), cuando el bloque rival ya está formado (todos por detrás del balón), o cuando pasan &gt;~10 s / &gt;~4–5 pases sin llegar al último tercio.</t>
        </is>
      </c>
    </row>
    <row r="44" ht="15" customHeight="1" s="74">
      <c r="B44" s="99" t="inlineStr">
        <is>
          <t>Árbol de decisión:</t>
        </is>
      </c>
    </row>
    <row r="45" ht="25.5" customHeight="1" s="74">
      <c r="B45" s="78" t="inlineStr">
        <is>
          <t>1.  ¿Acabas de recuperar (hay un evento Recuperación)?  No → no es transición.</t>
        </is>
      </c>
    </row>
    <row r="46" ht="25.5" customHeight="1" s="74">
      <c r="B46" s="78" t="inlineStr">
        <is>
          <t>2.  ¿El primer movimiento es hacia adelante, SIN pase de reset y con el rival desordenado?  No → ataque posicional (Inicio/Progresión).</t>
        </is>
      </c>
    </row>
    <row r="47" ht="25.5" customHeight="1" s="74">
      <c r="B47" s="78" t="inlineStr">
        <is>
          <t>3.  Sí → Ataque en transición.  Atributo 'Termina en remate' = Sí si produce remate/ocasión; No si no.</t>
        </is>
      </c>
    </row>
    <row r="48" ht="25.5" customHeight="1" s="74">
      <c r="B48" s="78" t="inlineStr">
        <is>
          <t>4.  Cierre: remate / pérdida / pase de reset / rival ya organizado.</t>
        </is>
      </c>
    </row>
    <row r="49" ht="25.5" customHeight="1" s="74">
      <c r="B49" s="100" t="inlineStr">
        <is>
          <t>El cue que lo decide: el pase de reset. En el momento en que metes un pase de seguridad atrás o al lado, la transición terminó.</t>
        </is>
      </c>
    </row>
    <row r="50" ht="15" customHeight="1" s="74">
      <c r="B50" s="99" t="inlineStr">
        <is>
          <t>Casos resueltos:</t>
        </is>
      </c>
    </row>
    <row r="51" ht="31.5" customHeight="1" s="74">
      <c r="B51" s="101" t="inlineStr">
        <is>
          <t>• Gol de Chandía (71'): NO es transición — no hay evidencia de que naciera de una recuperación con el rival desordenado; fue ataque con pase a la espalda → Último pase + Finalización. No llames 'contra' a todo lo vertical.</t>
        </is>
      </c>
    </row>
    <row r="52" ht="31.5" customHeight="1" s="74">
      <c r="B52" s="101" t="inlineStr">
        <is>
          <t>• Recuperas en Z8 y en 3 pases Vargas remata sin que Coquimbo se reordene → Ataque en transición · Termina en remate = Sí.</t>
        </is>
      </c>
    </row>
    <row r="53" ht="31.5" customHeight="1" s="74">
      <c r="B53" s="101" t="inlineStr">
        <is>
          <t>• Recuperas y das dos pases de seguridad para asentarte → Recuperación + Inicio/Salida (no transición).</t>
        </is>
      </c>
    </row>
    <row r="55" ht="19.5" customHeight="1" s="74">
      <c r="B55" s="98" t="inlineStr">
        <is>
          <t>REACCIÓN TRAS PÉRDIDA — el instrumento de tu tesis</t>
        </is>
      </c>
    </row>
    <row r="56" ht="39.75" customHeight="1" s="74">
      <c r="B56" s="78" t="inlineStr">
        <is>
          <t>Qué es: qué pasa en los ~5 s siguientes a tu pérdida. Es un atributo de la Pérdida, ORDENADO y excluyente. El reloj arranca cuando el rival toma el balón. Sin cronómetro, '≤5 s' ≈ 2–3 acciones / antes de que el rival complete su primer pase de salida de la presión.</t>
        </is>
      </c>
    </row>
    <row r="57" ht="15" customHeight="1" s="74">
      <c r="B57" s="99" t="inlineStr">
        <is>
          <t>Árbol de decisión (ORDENADO — gana la PRIMERA que se cumpla):</t>
        </is>
      </c>
    </row>
    <row r="58" ht="25.5" customHeight="1" s="74">
      <c r="B58" s="78" t="inlineStr">
        <is>
          <t>1.  ¿Tu equipo hace falta para frenar la jugada?  →  Falta táctica.</t>
        </is>
      </c>
    </row>
    <row r="59" ht="25.5" customHeight="1" s="74">
      <c r="B59" s="78" t="inlineStr">
        <is>
          <t>2.  ¿Recuperas posesión CONTROLADA dentro de ~5 s?  →  Recuperada ≤5s.  (= el '1' de tu variable binaria)</t>
        </is>
      </c>
    </row>
    <row r="60" ht="25.5" customHeight="1" s="74">
      <c r="B60" s="78" t="inlineStr">
        <is>
          <t>3.  ¿El rival progresa con el balón hacia tu portería superando tu primera reacción?  →  Contra concedida.</t>
        </is>
      </c>
    </row>
    <row r="61" ht="25.5" customHeight="1" s="74">
      <c r="B61" s="78" t="inlineStr">
        <is>
          <t>4.  Si nada de lo anterior (te reordenas en bloque, el rival mantiene posesión sin transición peligrosa)  →  Repliegue.</t>
        </is>
      </c>
    </row>
    <row r="62" ht="31.5" customHeight="1" s="74">
      <c r="B62" s="100" t="inlineStr">
        <is>
          <t>Precisiones: 'Controlada' = tu jugador domina el balón o tu equipo claramente lo tiene (un rechace 50/50 no cuenta hasta que se resuelve). 'Contra concedida' exige progresión hacia tu arco con intención, no un pase lateral/atrás de seguridad del rival (eso es Repliegue).</t>
        </is>
      </c>
    </row>
    <row r="63" ht="31.5" customHeight="1" s="74">
      <c r="B63" s="91" t="inlineStr">
        <is>
          <t>El predictor continuo (columna 'Apoyos al perder ≤10m'): nº de compañeros a ≤10 m del poseedor en el instante de la pérdida. Es un proxy de la densidad/estructura de tu posesión — tu 'distancia de relación'.</t>
        </is>
      </c>
    </row>
    <row r="64" ht="33.75" customHeight="1" s="74">
      <c r="B64" s="92" t="inlineStr">
        <is>
          <t>Tu test:  Apoyos al perder (continuo)  vs  Recuperada ≤5s (binario)  →  Point-Biserial. Confirma o refuta tu tesis: mejor estructura al perder ⇒ más recuperación inmediata. Segmenta SIEMPRE por marcador: un equipo perdiendo arriesga y pierde distinto que ganando.</t>
        </is>
      </c>
    </row>
    <row r="65" ht="15" customHeight="1" s="74">
      <c r="B65" s="99" t="inlineStr">
        <is>
          <t>Casos resueltos:</t>
        </is>
      </c>
    </row>
    <row r="66" ht="24" customHeight="1" s="74">
      <c r="B66" s="101" t="inlineStr">
        <is>
          <t>• Pierdes en Z11 y la recuperas en 2 pases antes de que Coquimbo salga → Recuperada ≤5s.</t>
        </is>
      </c>
    </row>
    <row r="67" ht="24" customHeight="1" s="74">
      <c r="B67" s="101" t="inlineStr">
        <is>
          <t>• Pierdes y un rival conduce hacia tu área superando tu presión → Contra concedida.</t>
        </is>
      </c>
    </row>
    <row r="68" ht="24" customHeight="1" s="74">
      <c r="B68" s="101" t="inlineStr">
        <is>
          <t>• Pierdes y Coquimbo la circula atrás mientras te reordenas → Repliegue.</t>
        </is>
      </c>
    </row>
    <row r="69" ht="24" customHeight="1" s="74">
      <c r="B69" s="101" t="inlineStr">
        <is>
          <t>• Cortas una salida rápida del rival con falta → Falta táctica.</t>
        </is>
      </c>
    </row>
    <row r="71" ht="18" customHeight="1" s="74">
      <c r="B71" s="102" t="inlineStr">
        <is>
          <t>CÓMO PROBARLAS — acuerdo inter-observador</t>
        </is>
      </c>
    </row>
    <row r="72" ht="19.5" customHeight="1" s="74">
      <c r="B72" s="78" t="inlineStr">
        <is>
          <t>Una definición solo sirve si dos personas codifican igual. Mídelo:</t>
        </is>
      </c>
    </row>
    <row r="73" ht="24" customHeight="1" s="74">
      <c r="B73" s="78" t="inlineStr">
        <is>
          <t>1.  Elige 10–15 clips que incluyan casos límite (presión vs marca; rompe línea vs bordea).</t>
        </is>
      </c>
    </row>
    <row r="74" ht="24" customHeight="1" s="74">
      <c r="B74" s="78" t="inlineStr">
        <is>
          <t>2.  Tú y un compañero los codifican por separado con estas reglas.</t>
        </is>
      </c>
    </row>
    <row r="75" ht="24" customHeight="1" s="74">
      <c r="B75" s="78" t="inlineStr">
        <is>
          <t>3.  Calcula el % de acuerdo y el kappa de Cohen (corrige el acuerdo por azar).</t>
        </is>
      </c>
    </row>
    <row r="76" ht="24" customHeight="1" s="74">
      <c r="B76" s="78" t="inlineStr">
        <is>
          <t>4.  Umbral: kappa ≥ 0.60 (acuerdo sustancial) = usable. Si es menor, afina la regla del caso donde más discrepan y repite.</t>
        </is>
      </c>
    </row>
    <row r="77" ht="25.5" customHeight="1" s="74">
      <c r="B77" s="100" t="inlineStr">
        <is>
          <t>Es el '% de acuerdo interobservador' de la estrategia, y se apoya en tu toolkit de métricas categóricas (kappa / Cramér's V).</t>
        </is>
      </c>
    </row>
    <row r="79" ht="36" customHeight="1" s="74">
      <c r="B79" s="103" t="inlineStr">
        <is>
          <t>Nota honesta: solo las finalizaciones se pueden ver en este compacto. Presión, transiciones y reacción tras pérdida NO (el compacto no muestra el juego sin balón ni las pérdidas). Esos casos fijan la regla; se codifican y validan con los 90' completos.</t>
        </is>
      </c>
    </row>
  </sheetData>
  <mergeCells count="71">
    <mergeCell ref="B75:F75"/>
    <mergeCell ref="B47:F47"/>
    <mergeCell ref="B16:F16"/>
    <mergeCell ref="B62:F62"/>
    <mergeCell ref="B25:F25"/>
    <mergeCell ref="B72:F72"/>
    <mergeCell ref="B3:F3"/>
    <mergeCell ref="B59:F59"/>
    <mergeCell ref="B66:F66"/>
    <mergeCell ref="B31:F31"/>
    <mergeCell ref="B46:F46"/>
    <mergeCell ref="B22:F22"/>
    <mergeCell ref="B71:F71"/>
    <mergeCell ref="B56:F56"/>
    <mergeCell ref="B58:F58"/>
    <mergeCell ref="B18:F18"/>
    <mergeCell ref="B27:F27"/>
    <mergeCell ref="B21:F21"/>
    <mergeCell ref="B52:F52"/>
    <mergeCell ref="B43:F43"/>
    <mergeCell ref="B12:F12"/>
    <mergeCell ref="B39:F39"/>
    <mergeCell ref="B77:F77"/>
    <mergeCell ref="B2:F2"/>
    <mergeCell ref="B48:F48"/>
    <mergeCell ref="B11:F11"/>
    <mergeCell ref="B42:F42"/>
    <mergeCell ref="B60:F60"/>
    <mergeCell ref="B67:F67"/>
    <mergeCell ref="B23:F23"/>
    <mergeCell ref="B61:F61"/>
    <mergeCell ref="B14:F14"/>
    <mergeCell ref="B8:F8"/>
    <mergeCell ref="B17:F17"/>
    <mergeCell ref="B13:F13"/>
    <mergeCell ref="B57:F57"/>
    <mergeCell ref="B44:F44"/>
    <mergeCell ref="B53:F53"/>
    <mergeCell ref="B29:F29"/>
    <mergeCell ref="B73:F73"/>
    <mergeCell ref="B69:F69"/>
    <mergeCell ref="B38:F38"/>
    <mergeCell ref="B34:F34"/>
    <mergeCell ref="B10:F10"/>
    <mergeCell ref="B28:F28"/>
    <mergeCell ref="B19:F19"/>
    <mergeCell ref="B37:F37"/>
    <mergeCell ref="B9:F9"/>
    <mergeCell ref="B74:F74"/>
    <mergeCell ref="B49:F49"/>
    <mergeCell ref="B30:F30"/>
    <mergeCell ref="B65:F65"/>
    <mergeCell ref="B68:F68"/>
    <mergeCell ref="B55:F55"/>
    <mergeCell ref="B6:F6"/>
    <mergeCell ref="B20:F20"/>
    <mergeCell ref="B15:F15"/>
    <mergeCell ref="B33:F33"/>
    <mergeCell ref="B64:F64"/>
    <mergeCell ref="B5:F5"/>
    <mergeCell ref="B51:F51"/>
    <mergeCell ref="B76:F76"/>
    <mergeCell ref="B45:F45"/>
    <mergeCell ref="B63:F63"/>
    <mergeCell ref="B79:F79"/>
    <mergeCell ref="B36:F36"/>
    <mergeCell ref="B32:F32"/>
    <mergeCell ref="B50:F50"/>
    <mergeCell ref="B26:F26"/>
    <mergeCell ref="B41:F41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3" min="1" max="1"/>
    <col width="26" customWidth="1" style="73" min="2" max="2"/>
    <col width="16" customWidth="1" style="73" min="3" max="3"/>
    <col width="26" customWidth="1" style="73" min="4" max="4"/>
    <col width="16" customWidth="1" style="73" min="5" max="5"/>
    <col width="14" customWidth="1" style="73" min="6" max="6"/>
  </cols>
  <sheetData>
    <row r="1" ht="25.5" customHeight="1" s="74">
      <c r="A1" s="104" t="inlineStr">
        <is>
          <t>Ficha de contexto del partido</t>
        </is>
      </c>
    </row>
    <row r="2"/>
    <row r="3" ht="15" customHeight="1" s="74">
      <c r="A3" s="105" t="inlineStr">
        <is>
          <t>Competición</t>
        </is>
      </c>
      <c r="B3" s="86" t="inlineStr">
        <is>
          <t>Copa Chile 2026 — Octavos de final (IDA)</t>
        </is>
      </c>
    </row>
    <row r="4" ht="15" customHeight="1" s="74">
      <c r="A4" s="105" t="inlineStr">
        <is>
          <t>Fecha / sede</t>
        </is>
      </c>
      <c r="B4" s="86" t="inlineStr">
        <is>
          <t>22-09-2026 · Estadio Zorros del Desierto, Calama</t>
        </is>
      </c>
    </row>
    <row r="5" ht="15" customHeight="1" s="74">
      <c r="A5" s="105" t="inlineStr">
        <is>
          <t>Resultado</t>
        </is>
      </c>
      <c r="B5" s="86" t="inlineStr">
        <is>
          <t>Cobreloa 1 – 2 Coquimbo Unido</t>
        </is>
      </c>
    </row>
    <row r="6" ht="15" customHeight="1" s="74">
      <c r="A6" s="105" t="inlineStr">
        <is>
          <t>Llave</t>
        </is>
      </c>
      <c r="B6" s="86" t="inlineStr">
        <is>
          <t>Vuelta: 07-10-2026 en Coquimbo — esta codificación prepara la revancha</t>
        </is>
      </c>
    </row>
    <row r="7" ht="15" customHeight="1" s="74">
      <c r="A7" s="105" t="inlineStr">
        <is>
          <t>Goles</t>
        </is>
      </c>
      <c r="B7" s="86" t="inlineStr">
        <is>
          <t>64' S. Cabrera (as. Vadalá) · 70' Orellana EN CONTRA (as. Méndez) · 87' Y. Blanco (as. Zavala) — el 1-2 tiene evidencia MEDIA (ver nota en Registro y hoja Problemas)</t>
        </is>
      </c>
    </row>
    <row r="8" ht="15" customHeight="1" s="74">
      <c r="A8" s="105" t="inlineStr">
        <is>
          <t>Equipo que ANALIZO</t>
        </is>
      </c>
      <c r="B8" s="106" t="inlineStr">
        <is>
          <t>Coquimbo Unido</t>
        </is>
      </c>
    </row>
    <row r="9"/>
    <row r="10" ht="15" customHeight="1" s="74">
      <c r="A10" s="76" t="inlineStr">
        <is>
          <t>Modelo de zonas (18 zonas, numeradas desde tu defensa)</t>
        </is>
      </c>
    </row>
    <row r="11" ht="15" customHeight="1" s="74">
      <c r="A11" s="107" t="inlineStr">
        <is>
          <t>Z1–Z3</t>
        </is>
      </c>
      <c r="B11" s="86" t="inlineStr">
        <is>
          <t>Defensa propia (banda izq · centro · banda der)</t>
        </is>
      </c>
    </row>
    <row r="12" ht="15" customHeight="1" s="74">
      <c r="A12" s="107" t="inlineStr">
        <is>
          <t>Z4–Z6</t>
        </is>
      </c>
      <c r="B12" s="86" t="inlineStr">
        <is>
          <t>Salida de balón / inicio</t>
        </is>
      </c>
    </row>
    <row r="13" ht="15" customHeight="1" s="74">
      <c r="A13" s="107" t="inlineStr">
        <is>
          <t>Z7–Z9</t>
        </is>
      </c>
      <c r="B13" s="86" t="inlineStr">
        <is>
          <t>Mediocampo defensivo</t>
        </is>
      </c>
    </row>
    <row r="14" ht="15" customHeight="1" s="74">
      <c r="A14" s="107" t="inlineStr">
        <is>
          <t>Z10–Z12</t>
        </is>
      </c>
      <c r="B14" s="86" t="inlineStr">
        <is>
          <t>Mediocampo ofensivo / creación</t>
        </is>
      </c>
    </row>
    <row r="15" ht="15" customHeight="1" s="74">
      <c r="A15" s="107" t="inlineStr">
        <is>
          <t>Z13–Z15</t>
        </is>
      </c>
      <c r="B15" s="86" t="inlineStr">
        <is>
          <t>Tres cuartos rival — Z14 = frontal del área (la zona del 10)</t>
        </is>
      </c>
    </row>
    <row r="16" ht="15" customHeight="1" s="74">
      <c r="A16" s="107" t="inlineStr">
        <is>
          <t>Z16–Z18</t>
        </is>
      </c>
      <c r="B16" s="86" t="inlineStr">
        <is>
          <t>Área de finalización y desborde (bandas y centro del ataque)</t>
        </is>
      </c>
    </row>
    <row r="17" ht="15" customHeight="1" s="74">
      <c r="A17" s="108" t="inlineStr">
        <is>
          <t>Carriles: Banda izq · Half-space izq · Central · Half-space der · Banda der    |    Tercios: Iniciación · Creación · Finalización</t>
        </is>
      </c>
    </row>
    <row r="18"/>
    <row r="19" ht="15" customHeight="1" s="74">
      <c r="A19" s="76" t="inlineStr">
        <is>
          <t>Plantel — Cobreloa (XI parcial)</t>
        </is>
      </c>
      <c r="D19" s="76" t="inlineStr">
        <is>
          <t>Plantel — Coquimbo Unido (XI parcial)</t>
        </is>
      </c>
    </row>
    <row r="20" ht="15" customHeight="1" s="74">
      <c r="A20" s="109" t="inlineStr">
        <is>
          <t>Jugador</t>
        </is>
      </c>
      <c r="B20" s="109" t="inlineStr">
        <is>
          <t>Posición</t>
        </is>
      </c>
      <c r="C20" s="109" t="inlineStr">
        <is>
          <t>XI/Sup</t>
        </is>
      </c>
      <c r="D20" s="109" t="inlineStr">
        <is>
          <t>Jugador</t>
        </is>
      </c>
      <c r="E20" s="109" t="inlineStr">
        <is>
          <t>Posición</t>
        </is>
      </c>
      <c r="F20" s="109" t="inlineStr">
        <is>
          <t>XI/Sup</t>
        </is>
      </c>
    </row>
    <row r="21" ht="15" customHeight="1" s="74">
      <c r="A21" s="110" t="inlineStr">
        <is>
          <t>Diego Tapia</t>
        </is>
      </c>
      <c r="B21" s="110" t="inlineStr">
        <is>
          <t>Portero</t>
        </is>
      </c>
      <c r="C21" s="110" t="inlineStr">
        <is>
          <t>XI</t>
        </is>
      </c>
      <c r="D21" s="110" t="inlineStr">
        <is>
          <t>Gonzalo Flores</t>
        </is>
      </c>
      <c r="E21" s="110" t="inlineStr">
        <is>
          <t>Portero</t>
        </is>
      </c>
      <c r="F21" s="110" t="inlineStr">
        <is>
          <t>XI</t>
        </is>
      </c>
    </row>
    <row r="22" ht="15" customHeight="1" s="74">
      <c r="A22" s="110" t="inlineStr">
        <is>
          <t>Rodolfo González (C)</t>
        </is>
      </c>
      <c r="B22" s="110" t="inlineStr">
        <is>
          <t>Central</t>
        </is>
      </c>
      <c r="C22" s="110" t="inlineStr">
        <is>
          <t>XI</t>
        </is>
      </c>
      <c r="D22" s="110" t="inlineStr">
        <is>
          <t>Manuel Fernández (C)</t>
        </is>
      </c>
      <c r="E22" s="110" t="inlineStr">
        <is>
          <t>Central</t>
        </is>
      </c>
      <c r="F22" s="110" t="inlineStr">
        <is>
          <t>XI</t>
        </is>
      </c>
    </row>
    <row r="23" ht="15" customHeight="1" s="74">
      <c r="A23" s="110" t="inlineStr">
        <is>
          <t>Felipe Saavedra</t>
        </is>
      </c>
      <c r="B23" s="110" t="inlineStr">
        <is>
          <t>Lateral izq</t>
        </is>
      </c>
      <c r="C23" s="110" t="inlineStr">
        <is>
          <t>XI</t>
        </is>
      </c>
      <c r="D23" s="110" t="inlineStr">
        <is>
          <t>Joshua Arancibia</t>
        </is>
      </c>
      <c r="E23" s="110" t="inlineStr">
        <is>
          <t>Central</t>
        </is>
      </c>
      <c r="F23" s="110" t="inlineStr">
        <is>
          <t>XI</t>
        </is>
      </c>
    </row>
    <row r="24" ht="15" customHeight="1" s="74">
      <c r="A24" s="110" t="inlineStr">
        <is>
          <t>Jorge Gática</t>
        </is>
      </c>
      <c r="B24" s="110" t="inlineStr">
        <is>
          <t>Mediocentro</t>
        </is>
      </c>
      <c r="C24" s="110" t="inlineStr">
        <is>
          <t>XI</t>
        </is>
      </c>
      <c r="D24" s="110" t="inlineStr">
        <is>
          <t>Lukas Soza</t>
        </is>
      </c>
      <c r="E24" s="110" t="inlineStr">
        <is>
          <t>Lateral der</t>
        </is>
      </c>
      <c r="F24" s="110" t="inlineStr">
        <is>
          <t>XI</t>
        </is>
      </c>
    </row>
    <row r="25" ht="15" customHeight="1" s="74">
      <c r="A25" s="110" t="inlineStr">
        <is>
          <t>Agustín Quezada</t>
        </is>
      </c>
      <c r="B25" s="110" t="inlineStr">
        <is>
          <t>—</t>
        </is>
      </c>
      <c r="C25" s="110" t="inlineStr">
        <is>
          <t>XI</t>
        </is>
      </c>
      <c r="D25" s="110" t="inlineStr">
        <is>
          <t>Sebastián Cabrera</t>
        </is>
      </c>
      <c r="E25" s="110" t="inlineStr">
        <is>
          <t>Lateral izq</t>
        </is>
      </c>
      <c r="F25" s="110" t="inlineStr">
        <is>
          <t>XI</t>
        </is>
      </c>
    </row>
    <row r="26" ht="15" customHeight="1" s="74">
      <c r="A26" s="110" t="inlineStr">
        <is>
          <t>Matías Sandoval</t>
        </is>
      </c>
      <c r="B26" s="110" t="inlineStr">
        <is>
          <t>Extremo der</t>
        </is>
      </c>
      <c r="C26" s="110" t="inlineStr">
        <is>
          <t>XI</t>
        </is>
      </c>
      <c r="D26" s="110" t="inlineStr">
        <is>
          <t>Salvador Cordero</t>
        </is>
      </c>
      <c r="E26" s="110" t="inlineStr">
        <is>
          <t>Pivote</t>
        </is>
      </c>
      <c r="F26" s="110" t="inlineStr">
        <is>
          <t>XI</t>
        </is>
      </c>
    </row>
    <row r="27" ht="15" customHeight="1" s="74">
      <c r="A27" s="110" t="inlineStr">
        <is>
          <t>Juan Duma</t>
        </is>
      </c>
      <c r="B27" s="110" t="inlineStr">
        <is>
          <t>Extremo izq</t>
        </is>
      </c>
      <c r="C27" s="110" t="inlineStr">
        <is>
          <t>XI</t>
        </is>
      </c>
      <c r="D27" s="110" t="inlineStr">
        <is>
          <t>Matías Zepeda</t>
        </is>
      </c>
      <c r="E27" s="110" t="inlineStr">
        <is>
          <t>Mediocentro</t>
        </is>
      </c>
      <c r="F27" s="110" t="inlineStr">
        <is>
          <t>XI</t>
        </is>
      </c>
    </row>
    <row r="28" ht="15" customHeight="1" s="74">
      <c r="A28" s="110" t="inlineStr">
        <is>
          <t>Yastin Navarro</t>
        </is>
      </c>
      <c r="B28" s="110" t="inlineStr">
        <is>
          <t>Extremo izq</t>
        </is>
      </c>
      <c r="C28" s="110" t="inlineStr">
        <is>
          <t>XI</t>
        </is>
      </c>
      <c r="D28" s="110" t="inlineStr">
        <is>
          <t>Guido Vadalá</t>
        </is>
      </c>
      <c r="E28" s="110" t="inlineStr">
        <is>
          <t>Mediapunta</t>
        </is>
      </c>
      <c r="F28" s="110" t="inlineStr">
        <is>
          <t>XI</t>
        </is>
      </c>
    </row>
    <row r="29" ht="15" customHeight="1" s="74">
      <c r="A29" s="110" t="inlineStr">
        <is>
          <t>Camilo Orellana</t>
        </is>
      </c>
      <c r="B29" s="110" t="inlineStr">
        <is>
          <t>Delantero</t>
        </is>
      </c>
      <c r="C29" s="110" t="inlineStr">
        <is>
          <t>XI</t>
        </is>
      </c>
      <c r="D29" s="110" t="inlineStr">
        <is>
          <t>Dixon Pereira</t>
        </is>
      </c>
      <c r="E29" s="110" t="inlineStr">
        <is>
          <t>Extremo der</t>
        </is>
      </c>
      <c r="F29" s="110" t="inlineStr">
        <is>
          <t>XI</t>
        </is>
      </c>
    </row>
    <row r="30" ht="15" customHeight="1" s="74">
      <c r="A30" s="110" t="inlineStr">
        <is>
          <t>Francisco Matamoros</t>
        </is>
      </c>
      <c r="B30" s="110" t="inlineStr">
        <is>
          <t>Mediapunta</t>
        </is>
      </c>
      <c r="C30" s="110" t="inlineStr">
        <is>
          <t>Sup</t>
        </is>
      </c>
      <c r="D30" s="110" t="inlineStr">
        <is>
          <t>Gino Alfaro</t>
        </is>
      </c>
      <c r="E30" s="110" t="inlineStr">
        <is>
          <t>—</t>
        </is>
      </c>
      <c r="F30" s="110" t="inlineStr">
        <is>
          <t>XI</t>
        </is>
      </c>
    </row>
    <row r="31" ht="15" customHeight="1" s="74">
      <c r="A31" s="110" t="inlineStr">
        <is>
          <t>Robinson Porras</t>
        </is>
      </c>
      <c r="B31" s="110" t="inlineStr">
        <is>
          <t>—</t>
        </is>
      </c>
      <c r="C31" s="110" t="inlineStr">
        <is>
          <t>Sup</t>
        </is>
      </c>
      <c r="D31" s="110" t="inlineStr">
        <is>
          <t>Lucas Pratto</t>
        </is>
      </c>
      <c r="E31" s="110" t="inlineStr">
        <is>
          <t>Delantero</t>
        </is>
      </c>
      <c r="F31" s="110" t="inlineStr">
        <is>
          <t>Sup</t>
        </is>
      </c>
    </row>
    <row r="32" ht="15" customHeight="1" s="74">
      <c r="A32" s="110" t="inlineStr">
        <is>
          <t>Sergio Gallardo</t>
        </is>
      </c>
      <c r="B32" s="110" t="inlineStr">
        <is>
          <t>Mediocampista</t>
        </is>
      </c>
      <c r="C32" s="110" t="inlineStr">
        <is>
          <t>Sup</t>
        </is>
      </c>
      <c r="D32" s="110" t="inlineStr">
        <is>
          <t>Facundo Pons</t>
        </is>
      </c>
      <c r="E32" s="110" t="inlineStr">
        <is>
          <t>Delantero</t>
        </is>
      </c>
      <c r="F32" s="110" t="inlineStr">
        <is>
          <t>Sup</t>
        </is>
      </c>
    </row>
    <row r="33" ht="15" customHeight="1" s="74">
      <c r="A33" s="110" t="inlineStr">
        <is>
          <t>Alberto Tejerina</t>
        </is>
      </c>
      <c r="B33" s="110" t="inlineStr">
        <is>
          <t>—</t>
        </is>
      </c>
      <c r="C33" s="110" t="inlineStr">
        <is>
          <t>Sup</t>
        </is>
      </c>
      <c r="D33" s="110" t="inlineStr">
        <is>
          <t>Cristian Zavala</t>
        </is>
      </c>
      <c r="E33" s="110" t="inlineStr">
        <is>
          <t>Extremo der</t>
        </is>
      </c>
      <c r="F33" s="110" t="inlineStr">
        <is>
          <t>Sup</t>
        </is>
      </c>
    </row>
    <row r="34" ht="15" customHeight="1" s="74">
      <c r="A34" s="110" t="inlineStr">
        <is>
          <t>Hugo Araya</t>
        </is>
      </c>
      <c r="B34" s="110" t="inlineStr">
        <is>
          <t>Portero</t>
        </is>
      </c>
      <c r="C34" s="110" t="inlineStr">
        <is>
          <t>Sup</t>
        </is>
      </c>
      <c r="D34" s="110" t="inlineStr">
        <is>
          <t>Pablo Rodríguez</t>
        </is>
      </c>
      <c r="E34" s="110" t="inlineStr">
        <is>
          <t>Mediapunta</t>
        </is>
      </c>
      <c r="F34" s="110" t="inlineStr">
        <is>
          <t>Sup</t>
        </is>
      </c>
    </row>
    <row r="35" ht="15" customHeight="1" s="74">
      <c r="A35" s="110" t="inlineStr">
        <is>
          <t>Max Fajardo</t>
        </is>
      </c>
      <c r="B35" s="110" t="inlineStr">
        <is>
          <t>—</t>
        </is>
      </c>
      <c r="C35" s="110" t="inlineStr">
        <is>
          <t>Sup</t>
        </is>
      </c>
      <c r="D35" s="110" t="inlineStr">
        <is>
          <t>Paulo Torres</t>
        </is>
      </c>
      <c r="E35" s="110" t="inlineStr">
        <is>
          <t>Mediocentro</t>
        </is>
      </c>
      <c r="F35" s="110" t="inlineStr">
        <is>
          <t>Sup</t>
        </is>
      </c>
    </row>
    <row r="36" ht="15" customHeight="1" s="74">
      <c r="D36" s="110" t="inlineStr">
        <is>
          <t>Cristóbal Dorador</t>
        </is>
      </c>
      <c r="E36" s="110" t="inlineStr">
        <is>
          <t>Portero</t>
        </is>
      </c>
      <c r="F36" s="110" t="inlineStr">
        <is>
          <t>Sup</t>
        </is>
      </c>
    </row>
  </sheetData>
  <mergeCells count="14">
    <mergeCell ref="B4:F4"/>
    <mergeCell ref="B12:F12"/>
    <mergeCell ref="B7:F7"/>
    <mergeCell ref="B6:F6"/>
    <mergeCell ref="B16:F16"/>
    <mergeCell ref="B15:F15"/>
    <mergeCell ref="A1:F1"/>
    <mergeCell ref="B11:F11"/>
    <mergeCell ref="B3:F3"/>
    <mergeCell ref="B5:F5"/>
    <mergeCell ref="A17:F17"/>
    <mergeCell ref="B14:F14"/>
    <mergeCell ref="B8:F8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74">
      <c r="A1" s="73" t="inlineStr">
        <is>
          <t>Cobreloa</t>
        </is>
      </c>
      <c r="B1" s="73" t="inlineStr">
        <is>
          <t>Org. ofensiva</t>
        </is>
      </c>
      <c r="C1" s="73" t="inlineStr">
        <is>
          <t>Inicio / Salida</t>
        </is>
      </c>
      <c r="D1" s="73" t="inlineStr">
        <is>
          <t>Iniciación</t>
        </is>
      </c>
      <c r="E1" s="73" t="inlineStr">
        <is>
          <t>Z1</t>
        </is>
      </c>
      <c r="F1" s="73" t="inlineStr">
        <is>
          <t>Banda izq</t>
        </is>
      </c>
      <c r="G1" s="73" t="inlineStr">
        <is>
          <t>Ganando</t>
        </is>
      </c>
      <c r="H1" s="73" t="inlineStr">
        <is>
          <t>Nula</t>
        </is>
      </c>
      <c r="I1" s="73" t="inlineStr">
        <is>
          <t>Gol</t>
        </is>
      </c>
      <c r="J1" s="73" t="inlineStr">
        <is>
          <t>Diego Tapia</t>
        </is>
      </c>
      <c r="K1" s="73" t="inlineStr">
        <is>
          <t>Alta</t>
        </is>
      </c>
      <c r="L1" s="73" t="inlineStr">
        <is>
          <t>P1</t>
        </is>
      </c>
      <c r="M1" s="73" t="inlineStr">
        <is>
          <t>Sí</t>
        </is>
      </c>
      <c r="N1" s="73" t="inlineStr">
        <is>
          <t>Recuperada ≤5s</t>
        </is>
      </c>
      <c r="P1" s="73" t="inlineStr">
        <is>
          <t>Tras recuperación</t>
        </is>
      </c>
      <c r="Q1" s="73" t="inlineStr">
        <is>
          <t>Pérdida</t>
        </is>
      </c>
    </row>
    <row r="2" ht="15" customHeight="1" s="74">
      <c r="A2" s="73" t="inlineStr">
        <is>
          <t>Coquimbo Unido</t>
        </is>
      </c>
      <c r="B2" s="73" t="inlineStr">
        <is>
          <t>Org. defensiva</t>
        </is>
      </c>
      <c r="C2" s="73" t="inlineStr">
        <is>
          <t>Progresión</t>
        </is>
      </c>
      <c r="D2" s="73" t="inlineStr">
        <is>
          <t>Creación</t>
        </is>
      </c>
      <c r="E2" s="73" t="inlineStr">
        <is>
          <t>Z2</t>
        </is>
      </c>
      <c r="F2" s="73" t="inlineStr">
        <is>
          <t>Half-space izq</t>
        </is>
      </c>
      <c r="G2" s="73" t="inlineStr">
        <is>
          <t>Empatando</t>
        </is>
      </c>
      <c r="H2" s="73" t="inlineStr">
        <is>
          <t>Media</t>
        </is>
      </c>
      <c r="I2" s="73" t="inlineStr">
        <is>
          <t>Ocasión</t>
        </is>
      </c>
      <c r="J2" s="73" t="inlineStr">
        <is>
          <t>Rodolfo González (C)</t>
        </is>
      </c>
      <c r="K2" s="73" t="inlineStr">
        <is>
          <t>Media</t>
        </is>
      </c>
      <c r="L2" s="73" t="inlineStr">
        <is>
          <t>P2</t>
        </is>
      </c>
      <c r="M2" s="73" t="inlineStr">
        <is>
          <t>No</t>
        </is>
      </c>
      <c r="N2" s="73" t="inlineStr">
        <is>
          <t>Repliegue</t>
        </is>
      </c>
      <c r="P2" s="73" t="inlineStr">
        <is>
          <t>Saque de arco a favor</t>
        </is>
      </c>
      <c r="Q2" s="73" t="inlineStr">
        <is>
          <t>Remate</t>
        </is>
      </c>
    </row>
    <row r="3" ht="15" customHeight="1" s="74">
      <c r="B3" s="73" t="inlineStr">
        <is>
          <t>Transición ofensiva</t>
        </is>
      </c>
      <c r="C3" s="73" t="inlineStr">
        <is>
          <t>Último pase / Centro</t>
        </is>
      </c>
      <c r="D3" s="73" t="inlineStr">
        <is>
          <t>Finalización</t>
        </is>
      </c>
      <c r="E3" s="73" t="inlineStr">
        <is>
          <t>Z3</t>
        </is>
      </c>
      <c r="F3" s="73" t="inlineStr">
        <is>
          <t>Central</t>
        </is>
      </c>
      <c r="G3" s="73" t="inlineStr">
        <is>
          <t>Perdiendo</t>
        </is>
      </c>
      <c r="H3" s="73" t="inlineStr">
        <is>
          <t>Alta</t>
        </is>
      </c>
      <c r="I3" s="73" t="inlineStr">
        <is>
          <t>Parada</t>
        </is>
      </c>
      <c r="J3" s="73" t="inlineStr">
        <is>
          <t>Felipe Saavedra</t>
        </is>
      </c>
      <c r="K3" s="73" t="inlineStr">
        <is>
          <t>Baja</t>
        </is>
      </c>
      <c r="L3" s="73" t="inlineStr">
        <is>
          <t>P3</t>
        </is>
      </c>
      <c r="M3" s="73" t="inlineStr">
        <is>
          <t>—</t>
        </is>
      </c>
      <c r="N3" s="73" t="inlineStr">
        <is>
          <t>Contra concedida</t>
        </is>
      </c>
      <c r="P3" s="73" t="inlineStr">
        <is>
          <t>Saque de arco en contra</t>
        </is>
      </c>
      <c r="Q3" s="73" t="inlineStr">
        <is>
          <t>Gol</t>
        </is>
      </c>
    </row>
    <row r="4" ht="15" customHeight="1" s="74">
      <c r="B4" s="73" t="inlineStr">
        <is>
          <t>Transición defensiva</t>
        </is>
      </c>
      <c r="C4" s="73" t="inlineStr">
        <is>
          <t>Finalización</t>
        </is>
      </c>
      <c r="E4" s="73" t="inlineStr">
        <is>
          <t>Z4</t>
        </is>
      </c>
      <c r="F4" s="73" t="inlineStr">
        <is>
          <t>Half-space der</t>
        </is>
      </c>
      <c r="H4" s="73" t="inlineStr">
        <is>
          <t>Orientada</t>
        </is>
      </c>
      <c r="I4" s="73" t="inlineStr">
        <is>
          <t>Fuera</t>
        </is>
      </c>
      <c r="J4" s="73" t="inlineStr">
        <is>
          <t>Jorge Gática</t>
        </is>
      </c>
      <c r="N4" s="73" t="inlineStr">
        <is>
          <t>Falta táctica</t>
        </is>
      </c>
      <c r="Q4" s="73" t="inlineStr">
        <is>
          <t>Concede saque</t>
        </is>
      </c>
    </row>
    <row r="5" ht="15" customHeight="1" s="74">
      <c r="B5" s="73" t="inlineStr">
        <is>
          <t>ABP ofensivo</t>
        </is>
      </c>
      <c r="C5" s="73" t="inlineStr">
        <is>
          <t>Recuperación</t>
        </is>
      </c>
      <c r="E5" s="73" t="inlineStr">
        <is>
          <t>Z5</t>
        </is>
      </c>
      <c r="F5" s="73" t="inlineStr">
        <is>
          <t>Banda der</t>
        </is>
      </c>
      <c r="I5" s="73" t="inlineStr">
        <is>
          <t>Bloqueo</t>
        </is>
      </c>
      <c r="J5" s="73" t="inlineStr">
        <is>
          <t>Agustín Quezada</t>
        </is>
      </c>
      <c r="N5" s="73" t="inlineStr">
        <is>
          <t>—</t>
        </is>
      </c>
      <c r="Q5" s="73" t="inlineStr">
        <is>
          <t>Recuperamos</t>
        </is>
      </c>
    </row>
    <row r="6" ht="15" customHeight="1" s="74">
      <c r="B6" s="73" t="inlineStr">
        <is>
          <t>ABP defensivo</t>
        </is>
      </c>
      <c r="C6" s="73" t="inlineStr">
        <is>
          <t>Ataque en transición</t>
        </is>
      </c>
      <c r="E6" s="73" t="inlineStr">
        <is>
          <t>Z6</t>
        </is>
      </c>
      <c r="I6" s="73" t="inlineStr">
        <is>
          <t>Despeje</t>
        </is>
      </c>
      <c r="J6" s="73" t="inlineStr">
        <is>
          <t>Matías Sandoval</t>
        </is>
      </c>
      <c r="Q6" s="73" t="inlineStr">
        <is>
          <t>Falta</t>
        </is>
      </c>
    </row>
    <row r="7" ht="15" customHeight="1" s="74">
      <c r="C7" s="73" t="inlineStr">
        <is>
          <t>Presión</t>
        </is>
      </c>
      <c r="E7" s="73" t="inlineStr">
        <is>
          <t>Z7</t>
        </is>
      </c>
      <c r="I7" s="73" t="inlineStr">
        <is>
          <t>Robo</t>
        </is>
      </c>
      <c r="J7" s="73" t="inlineStr">
        <is>
          <t>Juan Duma</t>
        </is>
      </c>
    </row>
    <row r="8" ht="15" customHeight="1" s="74">
      <c r="C8" s="73" t="inlineStr">
        <is>
          <t>Acción defensiva</t>
        </is>
      </c>
      <c r="E8" s="73" t="inlineStr">
        <is>
          <t>Z8</t>
        </is>
      </c>
      <c r="I8" s="73" t="inlineStr">
        <is>
          <t>Falta</t>
        </is>
      </c>
      <c r="J8" s="73" t="inlineStr">
        <is>
          <t>Yastin Navarro</t>
        </is>
      </c>
    </row>
    <row r="9" ht="15" customHeight="1" s="74">
      <c r="C9" s="73" t="inlineStr">
        <is>
          <t>Defensa del área</t>
        </is>
      </c>
      <c r="E9" s="73" t="inlineStr">
        <is>
          <t>Z9</t>
        </is>
      </c>
      <c r="I9" s="73" t="inlineStr">
        <is>
          <t>Pérdida</t>
        </is>
      </c>
      <c r="J9" s="73" t="inlineStr">
        <is>
          <t>Camilo Orellana</t>
        </is>
      </c>
    </row>
    <row r="10" ht="15" customHeight="1" s="74">
      <c r="C10" s="73" t="inlineStr">
        <is>
          <t>Pérdida</t>
        </is>
      </c>
      <c r="E10" s="73" t="inlineStr">
        <is>
          <t>Z10</t>
        </is>
      </c>
      <c r="I10" s="73" t="inlineStr">
        <is>
          <t>Éxito</t>
        </is>
      </c>
      <c r="J10" s="73" t="inlineStr">
        <is>
          <t>Francisco Matamoros</t>
        </is>
      </c>
    </row>
    <row r="11" ht="15" customHeight="1" s="74">
      <c r="C11" s="73" t="inlineStr">
        <is>
          <t>ABP ofensivo</t>
        </is>
      </c>
      <c r="E11" s="73" t="inlineStr">
        <is>
          <t>Z11</t>
        </is>
      </c>
      <c r="I11" s="73" t="inlineStr">
        <is>
          <t>Superada</t>
        </is>
      </c>
      <c r="J11" s="73" t="inlineStr">
        <is>
          <t>Robinson Porras</t>
        </is>
      </c>
    </row>
    <row r="12" ht="15" customHeight="1" s="74">
      <c r="C12" s="73" t="inlineStr">
        <is>
          <t>ABP defensivo</t>
        </is>
      </c>
      <c r="E12" s="73" t="inlineStr">
        <is>
          <t>Z12</t>
        </is>
      </c>
      <c r="J12" s="73" t="inlineStr">
        <is>
          <t>Sergio Gallardo</t>
        </is>
      </c>
    </row>
    <row r="13" ht="15" customHeight="1" s="74">
      <c r="C13" s="73" t="inlineStr">
        <is>
          <t>Incidencia</t>
        </is>
      </c>
      <c r="E13" s="73" t="inlineStr">
        <is>
          <t>Z13</t>
        </is>
      </c>
      <c r="J13" s="73" t="inlineStr">
        <is>
          <t>Alberto Tejerina</t>
        </is>
      </c>
    </row>
    <row r="14" ht="15" customHeight="1" s="74">
      <c r="E14" s="73" t="inlineStr">
        <is>
          <t>Z14</t>
        </is>
      </c>
      <c r="J14" s="73" t="inlineStr">
        <is>
          <t>Hugo Araya</t>
        </is>
      </c>
    </row>
    <row r="15" ht="15" customHeight="1" s="74">
      <c r="E15" s="73" t="inlineStr">
        <is>
          <t>Z15</t>
        </is>
      </c>
      <c r="J15" s="73" t="inlineStr">
        <is>
          <t>Max Fajardo</t>
        </is>
      </c>
    </row>
    <row r="16" ht="15" customHeight="1" s="74">
      <c r="E16" s="73" t="inlineStr">
        <is>
          <t>Z16</t>
        </is>
      </c>
      <c r="J16" s="73" t="inlineStr">
        <is>
          <t>Gonzalo Flores</t>
        </is>
      </c>
    </row>
    <row r="17" ht="15" customHeight="1" s="74">
      <c r="E17" s="73" t="inlineStr">
        <is>
          <t>Z17</t>
        </is>
      </c>
      <c r="J17" s="73" t="inlineStr">
        <is>
          <t>Manuel Fernández (C)</t>
        </is>
      </c>
    </row>
    <row r="18" ht="15" customHeight="1" s="74">
      <c r="E18" s="73" t="inlineStr">
        <is>
          <t>Z18</t>
        </is>
      </c>
      <c r="J18" s="73" t="inlineStr">
        <is>
          <t>Joshua Arancibia</t>
        </is>
      </c>
    </row>
    <row r="19" ht="15" customHeight="1" s="74">
      <c r="J19" s="73" t="inlineStr">
        <is>
          <t>Lukas Soza</t>
        </is>
      </c>
    </row>
    <row r="20" ht="15" customHeight="1" s="74">
      <c r="J20" s="73" t="inlineStr">
        <is>
          <t>Sebastián Cabrera</t>
        </is>
      </c>
    </row>
    <row r="21" ht="15" customHeight="1" s="74">
      <c r="J21" s="73" t="inlineStr">
        <is>
          <t>Salvador Cordero</t>
        </is>
      </c>
    </row>
    <row r="22" ht="15" customHeight="1" s="74">
      <c r="J22" s="73" t="inlineStr">
        <is>
          <t>Matías Zepeda</t>
        </is>
      </c>
    </row>
    <row r="23" ht="15" customHeight="1" s="74">
      <c r="J23" s="73" t="inlineStr">
        <is>
          <t>Guido Vadalá</t>
        </is>
      </c>
    </row>
    <row r="24" ht="15" customHeight="1" s="74">
      <c r="J24" s="73" t="inlineStr">
        <is>
          <t>Dixon Pereira</t>
        </is>
      </c>
    </row>
    <row r="25" ht="15" customHeight="1" s="74">
      <c r="J25" s="73" t="inlineStr">
        <is>
          <t>Gino Alfaro</t>
        </is>
      </c>
    </row>
    <row r="26" ht="15" customHeight="1" s="74">
      <c r="J26" s="73" t="inlineStr">
        <is>
          <t>Lucas Pratto</t>
        </is>
      </c>
    </row>
    <row r="27" ht="15" customHeight="1" s="74">
      <c r="J27" s="73" t="inlineStr">
        <is>
          <t>Facundo Pons</t>
        </is>
      </c>
    </row>
    <row r="28" ht="15" customHeight="1" s="74">
      <c r="J28" s="73" t="inlineStr">
        <is>
          <t>Cristian Zavala</t>
        </is>
      </c>
    </row>
    <row r="29" ht="15" customHeight="1" s="74">
      <c r="J29" s="73" t="inlineStr">
        <is>
          <t>Pablo Rodríguez</t>
        </is>
      </c>
    </row>
    <row r="30" ht="15" customHeight="1" s="74">
      <c r="J30" s="73" t="inlineStr">
        <is>
          <t>Paulo Torres</t>
        </is>
      </c>
    </row>
    <row r="31" ht="15" customHeight="1" s="74">
      <c r="J31" s="73" t="inlineStr">
        <is>
          <t>Cristóbal Dorador</t>
        </is>
      </c>
    </row>
    <row r="32">
      <c r="J32" t="inlineStr">
        <is>
          <t>Ythans Blanco</t>
        </is>
      </c>
    </row>
    <row r="33">
      <c r="J33" t="inlineStr">
        <is>
          <t>Joaquín Méndez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1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73" min="1" max="1"/>
    <col width="13" customWidth="1" style="73" min="2" max="2"/>
    <col width="11" customWidth="1" style="73" min="3" max="3"/>
    <col width="20" customWidth="1" style="73" min="4" max="5"/>
    <col width="18" customWidth="1" style="73" min="6" max="7"/>
    <col width="13" customWidth="1" style="73" min="8" max="8"/>
    <col width="7" customWidth="1" style="73" min="9" max="9"/>
    <col width="14" customWidth="1" style="73" min="10" max="10"/>
    <col width="12" customWidth="1" style="73" min="11" max="12"/>
    <col width="14" customWidth="1" style="73" min="13" max="13"/>
    <col width="11" customWidth="1" style="73" min="14" max="14"/>
    <col width="18" customWidth="1" style="73" min="15" max="15"/>
    <col width="13" customWidth="1" style="73" min="16" max="16"/>
    <col width="38" customWidth="1" style="73" min="17" max="17"/>
  </cols>
  <sheetData>
    <row r="1" ht="23.25" customHeight="1" s="74">
      <c r="A1" s="81" t="inlineStr">
        <is>
          <t>ID</t>
        </is>
      </c>
      <c r="B1" s="81" t="inlineStr">
        <is>
          <t>Clip (min vídeo)</t>
        </is>
      </c>
      <c r="C1" s="81" t="inlineStr">
        <is>
          <t>Min partido</t>
        </is>
      </c>
      <c r="D1" s="81" t="inlineStr">
        <is>
          <t>Equipo</t>
        </is>
      </c>
      <c r="E1" s="81" t="inlineStr">
        <is>
          <t>Jugador</t>
        </is>
      </c>
      <c r="F1" s="81" t="inlineStr">
        <is>
          <t>Fase</t>
        </is>
      </c>
      <c r="G1" s="81" t="inlineStr">
        <is>
          <t>Etiqueta</t>
        </is>
      </c>
      <c r="H1" s="81" t="inlineStr">
        <is>
          <t>Tercio</t>
        </is>
      </c>
      <c r="I1" s="81" t="inlineStr">
        <is>
          <t>Zona</t>
        </is>
      </c>
      <c r="J1" s="81" t="inlineStr">
        <is>
          <t>Carril</t>
        </is>
      </c>
      <c r="K1" s="81" t="inlineStr">
        <is>
          <t>Marcador</t>
        </is>
      </c>
      <c r="L1" s="81" t="inlineStr">
        <is>
          <t>Presión rival</t>
        </is>
      </c>
      <c r="M1" s="81" t="inlineStr">
        <is>
          <t>Resultado</t>
        </is>
      </c>
      <c r="N1" s="81" t="inlineStr">
        <is>
          <t>Rompe línea</t>
        </is>
      </c>
      <c r="O1" s="81" t="inlineStr">
        <is>
          <t>Reacción tras pérdida</t>
        </is>
      </c>
      <c r="P1" s="81" t="inlineStr">
        <is>
          <t>Apoyos al perder (≤10m)</t>
        </is>
      </c>
      <c r="Q1" s="81" t="inlineStr">
        <is>
          <t>Nota</t>
        </is>
      </c>
    </row>
    <row r="2" ht="23.25" customHeight="1" s="74">
      <c r="A2" s="111" t="n">
        <v>1</v>
      </c>
      <c r="B2" s="112" t="n"/>
      <c r="C2" s="113" t="n">
        <v>3</v>
      </c>
      <c r="D2" s="113" t="inlineStr">
        <is>
          <t>Coquimbo Unido</t>
        </is>
      </c>
      <c r="E2" s="114" t="inlineStr">
        <is>
          <t>Guido Vadalá</t>
        </is>
      </c>
      <c r="F2" s="114" t="inlineStr">
        <is>
          <t>Org. ofensiva</t>
        </is>
      </c>
      <c r="G2" s="114" t="inlineStr">
        <is>
          <t>Finalización</t>
        </is>
      </c>
      <c r="H2" s="113" t="inlineStr">
        <is>
          <t>Finalización</t>
        </is>
      </c>
      <c r="I2" s="113" t="inlineStr">
        <is>
          <t>Z17</t>
        </is>
      </c>
      <c r="J2" s="113" t="inlineStr">
        <is>
          <t>Central</t>
        </is>
      </c>
      <c r="K2" s="113" t="inlineStr">
        <is>
          <t>Empatando</t>
        </is>
      </c>
      <c r="L2" s="113" t="inlineStr">
        <is>
          <t>Media</t>
        </is>
      </c>
      <c r="M2" s="113" t="inlineStr">
        <is>
          <t>Despeje</t>
        </is>
      </c>
      <c r="N2" s="113" t="inlineStr">
        <is>
          <t>—</t>
        </is>
      </c>
      <c r="O2" s="113" t="inlineStr">
        <is>
          <t>—</t>
        </is>
      </c>
      <c r="P2" s="113" t="inlineStr">
        <is>
          <t>—</t>
        </is>
      </c>
      <c r="Q2" s="114" t="inlineStr">
        <is>
          <t>Ocasión clarísima 1T: centro desde la derecha, DESPEJE EN LA LÍNEA de Cobreloa + reacción del arquero Tapia; la repetición confirma que el balón NO entró. (autor del centro sin confirmar en CFDB). Evidencia ALTA (2 videos).</t>
        </is>
      </c>
    </row>
    <row r="3" ht="23.25" customHeight="1" s="74">
      <c r="A3" s="111" t="n">
        <v>2</v>
      </c>
      <c r="B3" s="112" t="n"/>
      <c r="C3" s="113" t="n">
        <v>44</v>
      </c>
      <c r="D3" s="113" t="inlineStr">
        <is>
          <t>Cobreloa</t>
        </is>
      </c>
      <c r="E3" s="114" t="inlineStr">
        <is>
          <t>Jorge Gática</t>
        </is>
      </c>
      <c r="F3" s="114" t="inlineStr">
        <is>
          <t>Org. ofensiva</t>
        </is>
      </c>
      <c r="G3" s="114" t="inlineStr">
        <is>
          <t>Finalización</t>
        </is>
      </c>
      <c r="H3" s="113" t="inlineStr">
        <is>
          <t>Finalización</t>
        </is>
      </c>
      <c r="I3" s="113" t="inlineStr">
        <is>
          <t>Z5</t>
        </is>
      </c>
      <c r="J3" s="113" t="inlineStr">
        <is>
          <t>Central</t>
        </is>
      </c>
      <c r="K3" s="113" t="inlineStr">
        <is>
          <t>Empatando</t>
        </is>
      </c>
      <c r="L3" s="113" t="inlineStr">
        <is>
          <t>Media</t>
        </is>
      </c>
      <c r="M3" s="113" t="inlineStr">
        <is>
          <t>Parada</t>
        </is>
      </c>
      <c r="N3" s="113" t="inlineStr">
        <is>
          <t>—</t>
        </is>
      </c>
      <c r="O3" s="113" t="inlineStr">
        <is>
          <t>—</t>
        </is>
      </c>
      <c r="P3" s="113" t="inlineStr">
        <is>
          <t>—</t>
        </is>
      </c>
      <c r="Q3" s="114" t="inlineStr">
        <is>
          <t>EN CONTRA (ocasión rival) · remate de Gática desde fuera del área; atajada de Gonzalo Flores al horizontal → córner. PATRÓN: Cobreloa remató mucho desde fuera. Evidencia ALTA.</t>
        </is>
      </c>
    </row>
    <row r="4" ht="34.5" customHeight="1" s="74">
      <c r="A4" s="111" t="n">
        <v>3</v>
      </c>
      <c r="B4" s="112" t="n"/>
      <c r="C4" s="113" t="n">
        <v>45</v>
      </c>
      <c r="D4" s="113" t="inlineStr">
        <is>
          <t>Coquimbo Unido</t>
        </is>
      </c>
      <c r="E4" s="114" t="inlineStr">
        <is>
          <t>Manuel Fernández (C)</t>
        </is>
      </c>
      <c r="F4" s="114" t="inlineStr"/>
      <c r="G4" s="114" t="inlineStr">
        <is>
          <t>Incidencia</t>
        </is>
      </c>
      <c r="H4" s="113" t="inlineStr">
        <is>
          <t>—</t>
        </is>
      </c>
      <c r="I4" s="113" t="inlineStr">
        <is>
          <t>—</t>
        </is>
      </c>
      <c r="J4" s="113" t="inlineStr">
        <is>
          <t>—</t>
        </is>
      </c>
      <c r="K4" s="113" t="inlineStr">
        <is>
          <t>Empatando</t>
        </is>
      </c>
      <c r="L4" s="113" t="inlineStr">
        <is>
          <t>—</t>
        </is>
      </c>
      <c r="M4" s="113" t="inlineStr">
        <is>
          <t>—</t>
        </is>
      </c>
      <c r="N4" s="113" t="inlineStr">
        <is>
          <t>—</t>
        </is>
      </c>
      <c r="O4" s="113" t="inlineStr">
        <is>
          <t>—</t>
        </is>
      </c>
      <c r="P4" s="113" t="inlineStr">
        <is>
          <t>—</t>
        </is>
      </c>
      <c r="Q4" s="114" t="inlineStr">
        <is>
          <t>Amarilla (CFDB). Capitán y central; relevante para la vuelta (apercibido).</t>
        </is>
      </c>
    </row>
    <row r="5" ht="15" customHeight="1" s="74">
      <c r="A5" s="111" t="n">
        <v>4</v>
      </c>
      <c r="B5" s="112" t="n"/>
      <c r="C5" s="113" t="n">
        <v>56</v>
      </c>
      <c r="D5" s="113" t="inlineStr">
        <is>
          <t>Coquimbo Unido</t>
        </is>
      </c>
      <c r="E5" s="114" t="inlineStr">
        <is>
          <t>Lucas Pratto</t>
        </is>
      </c>
      <c r="F5" s="114" t="inlineStr"/>
      <c r="G5" s="114" t="inlineStr">
        <is>
          <t>Incidencia</t>
        </is>
      </c>
      <c r="H5" s="113" t="inlineStr">
        <is>
          <t>—</t>
        </is>
      </c>
      <c r="I5" s="113" t="inlineStr">
        <is>
          <t>—</t>
        </is>
      </c>
      <c r="J5" s="113" t="inlineStr">
        <is>
          <t>—</t>
        </is>
      </c>
      <c r="K5" s="113" t="inlineStr">
        <is>
          <t>Empatando</t>
        </is>
      </c>
      <c r="L5" s="113" t="inlineStr">
        <is>
          <t>—</t>
        </is>
      </c>
      <c r="M5" s="113" t="inlineStr">
        <is>
          <t>—</t>
        </is>
      </c>
      <c r="N5" s="113" t="inlineStr">
        <is>
          <t>—</t>
        </is>
      </c>
      <c r="O5" s="113" t="inlineStr">
        <is>
          <t>—</t>
        </is>
      </c>
      <c r="P5" s="113" t="inlineStr">
        <is>
          <t>—</t>
        </is>
      </c>
      <c r="Q5" s="114" t="inlineStr">
        <is>
          <t>Ingresa Pratto (cambio ofensivo). CFDB: SUB_IN 56'.</t>
        </is>
      </c>
    </row>
    <row r="6" ht="15" customHeight="1" s="74">
      <c r="A6" s="111" t="n">
        <v>5</v>
      </c>
      <c r="B6" s="112" t="n"/>
      <c r="C6" s="113" t="n">
        <v>62</v>
      </c>
      <c r="D6" s="113" t="inlineStr">
        <is>
          <t>Cobreloa</t>
        </is>
      </c>
      <c r="E6" s="114" t="inlineStr">
        <is>
          <t>Francisco Matamoros</t>
        </is>
      </c>
      <c r="F6" s="114" t="inlineStr"/>
      <c r="G6" s="114" t="inlineStr">
        <is>
          <t>Incidencia</t>
        </is>
      </c>
      <c r="H6" s="113" t="inlineStr">
        <is>
          <t>—</t>
        </is>
      </c>
      <c r="I6" s="113" t="inlineStr">
        <is>
          <t>—</t>
        </is>
      </c>
      <c r="J6" s="113" t="inlineStr">
        <is>
          <t>—</t>
        </is>
      </c>
      <c r="K6" s="113" t="inlineStr">
        <is>
          <t>Empatando</t>
        </is>
      </c>
      <c r="L6" s="113" t="inlineStr">
        <is>
          <t>—</t>
        </is>
      </c>
      <c r="M6" s="113" t="inlineStr">
        <is>
          <t>—</t>
        </is>
      </c>
      <c r="N6" s="113" t="inlineStr">
        <is>
          <t>—</t>
        </is>
      </c>
      <c r="O6" s="113" t="inlineStr">
        <is>
          <t>—</t>
        </is>
      </c>
      <c r="P6" s="113" t="inlineStr">
        <is>
          <t>—</t>
        </is>
      </c>
      <c r="Q6" s="114" t="inlineStr">
        <is>
          <t>EN CONTRA contexto · Cobreloa: sale Duma, entra Matamoros (62').</t>
        </is>
      </c>
    </row>
    <row r="7" ht="15" customHeight="1" s="74">
      <c r="A7" s="111" t="n">
        <v>6</v>
      </c>
      <c r="B7" s="112" t="n"/>
      <c r="C7" s="113" t="n">
        <v>64</v>
      </c>
      <c r="D7" s="113" t="inlineStr">
        <is>
          <t>Coquimbo Unido</t>
        </is>
      </c>
      <c r="E7" s="114" t="inlineStr">
        <is>
          <t>Sebastián Cabrera</t>
        </is>
      </c>
      <c r="F7" s="114" t="inlineStr">
        <is>
          <t>Transición ofensiva</t>
        </is>
      </c>
      <c r="G7" s="114" t="inlineStr">
        <is>
          <t>Finalización</t>
        </is>
      </c>
      <c r="H7" s="113" t="inlineStr">
        <is>
          <t>Finalización</t>
        </is>
      </c>
      <c r="I7" s="113" t="inlineStr">
        <is>
          <t>Z16</t>
        </is>
      </c>
      <c r="J7" s="113" t="inlineStr">
        <is>
          <t>Central</t>
        </is>
      </c>
      <c r="K7" s="113" t="inlineStr">
        <is>
          <t>Empatando</t>
        </is>
      </c>
      <c r="L7" s="113" t="inlineStr">
        <is>
          <t>Media</t>
        </is>
      </c>
      <c r="M7" s="113" t="inlineStr">
        <is>
          <t>Gol</t>
        </is>
      </c>
      <c r="N7" s="113" t="inlineStr">
        <is>
          <t>—</t>
        </is>
      </c>
      <c r="O7" s="113" t="inlineStr">
        <is>
          <t>—</t>
        </is>
      </c>
      <c r="P7" s="113" t="inlineStr">
        <is>
          <t>—</t>
        </is>
      </c>
      <c r="Q7" s="114" t="inlineStr">
        <is>
          <t>0-1 · asist. Guido Vadalá; definición de primera al ángulo. Build-up: recuperación de Pereira a la presión → Vadalá → Cabrera. FIGURA del partido (rating CFDB 8.32). Ejemplo vivo de tu tesis: recuperar → atacar. Evidencia ALTA (CFDB+video+prensa).</t>
        </is>
      </c>
    </row>
    <row r="8" ht="15" customHeight="1" s="74">
      <c r="A8" s="111" t="n">
        <v>7</v>
      </c>
      <c r="B8" s="112" t="n"/>
      <c r="C8" s="113" t="n">
        <v>70</v>
      </c>
      <c r="D8" s="113" t="inlineStr">
        <is>
          <t>Coquimbo Unido</t>
        </is>
      </c>
      <c r="E8" s="114" t="inlineStr">
        <is>
          <t>Lucas Pratto</t>
        </is>
      </c>
      <c r="F8" s="114" t="inlineStr"/>
      <c r="G8" s="114" t="inlineStr">
        <is>
          <t>Incidencia</t>
        </is>
      </c>
      <c r="H8" s="113" t="inlineStr">
        <is>
          <t>—</t>
        </is>
      </c>
      <c r="I8" s="113" t="inlineStr">
        <is>
          <t>—</t>
        </is>
      </c>
      <c r="J8" s="113" t="inlineStr">
        <is>
          <t>—</t>
        </is>
      </c>
      <c r="K8" s="113" t="inlineStr">
        <is>
          <t>Ganando</t>
        </is>
      </c>
      <c r="L8" s="113" t="inlineStr">
        <is>
          <t>—</t>
        </is>
      </c>
      <c r="M8" s="113" t="inlineStr">
        <is>
          <t>—</t>
        </is>
      </c>
      <c r="N8" s="113" t="inlineStr">
        <is>
          <t>—</t>
        </is>
      </c>
      <c r="O8" s="113" t="inlineStr">
        <is>
          <t>—</t>
        </is>
      </c>
      <c r="P8" s="113" t="inlineStr">
        <is>
          <t>—</t>
        </is>
      </c>
      <c r="Q8" s="114" t="inlineStr">
        <is>
          <t>Amarilla a Pratto (CFDB, 70').</t>
        </is>
      </c>
    </row>
    <row r="9" ht="15" customHeight="1" s="74">
      <c r="A9" s="111" t="n">
        <v>8</v>
      </c>
      <c r="B9" s="112" t="n"/>
      <c r="C9" s="113" t="n">
        <v>70</v>
      </c>
      <c r="D9" s="113" t="inlineStr">
        <is>
          <t>Cobreloa</t>
        </is>
      </c>
      <c r="E9" s="114" t="inlineStr">
        <is>
          <t>Camilo Orellana</t>
        </is>
      </c>
      <c r="F9" s="114" t="inlineStr">
        <is>
          <t>Org. ofensiva</t>
        </is>
      </c>
      <c r="G9" s="114" t="inlineStr">
        <is>
          <t>Finalización</t>
        </is>
      </c>
      <c r="H9" s="113" t="inlineStr">
        <is>
          <t>Finalización</t>
        </is>
      </c>
      <c r="I9" s="113" t="inlineStr">
        <is>
          <t>Z2</t>
        </is>
      </c>
      <c r="J9" s="113" t="inlineStr">
        <is>
          <t>Central</t>
        </is>
      </c>
      <c r="K9" s="113" t="inlineStr">
        <is>
          <t>Ganando</t>
        </is>
      </c>
      <c r="L9" s="113" t="inlineStr">
        <is>
          <t>Media</t>
        </is>
      </c>
      <c r="M9" s="113" t="inlineStr">
        <is>
          <t>Gol</t>
        </is>
      </c>
      <c r="N9" s="113" t="inlineStr">
        <is>
          <t>—</t>
        </is>
      </c>
      <c r="O9" s="113" t="inlineStr">
        <is>
          <t>—</t>
        </is>
      </c>
      <c r="P9" s="113" t="inlineStr">
        <is>
          <t>—</t>
        </is>
      </c>
      <c r="Q9" s="114" t="inlineStr">
        <is>
          <t>EN CONTRA (1-1, 70') · asist. J. Méndez (prensa/TV; Méndez no figura en el XI de CFDB). Orellana (17) ANTICIPA a Manuel Fernández y define de derecha. HALLAZGO DEFENSIVO: central propio superado en el anticipo. Z2 = tercio defensivo propio.</t>
        </is>
      </c>
    </row>
    <row r="10" ht="15" customHeight="1" s="74">
      <c r="A10" s="111" t="n">
        <v>9</v>
      </c>
      <c r="B10" s="112" t="n"/>
      <c r="C10" s="113" t="n">
        <v>72</v>
      </c>
      <c r="D10" s="113" t="inlineStr">
        <is>
          <t>Cobreloa</t>
        </is>
      </c>
      <c r="E10" s="114" t="inlineStr">
        <is>
          <t>Robinson Porras</t>
        </is>
      </c>
      <c r="F10" s="114" t="inlineStr"/>
      <c r="G10" s="114" t="inlineStr">
        <is>
          <t>Incidencia</t>
        </is>
      </c>
      <c r="H10" s="113" t="inlineStr">
        <is>
          <t>—</t>
        </is>
      </c>
      <c r="I10" s="113" t="inlineStr">
        <is>
          <t>—</t>
        </is>
      </c>
      <c r="J10" s="113" t="inlineStr">
        <is>
          <t>—</t>
        </is>
      </c>
      <c r="K10" s="113" t="inlineStr">
        <is>
          <t>Empatando</t>
        </is>
      </c>
      <c r="L10" s="113" t="inlineStr">
        <is>
          <t>—</t>
        </is>
      </c>
      <c r="M10" s="113" t="inlineStr">
        <is>
          <t>—</t>
        </is>
      </c>
      <c r="N10" s="113" t="inlineStr">
        <is>
          <t>—</t>
        </is>
      </c>
      <c r="O10" s="113" t="inlineStr">
        <is>
          <t>—</t>
        </is>
      </c>
      <c r="P10" s="113" t="inlineStr">
        <is>
          <t>—</t>
        </is>
      </c>
      <c r="Q10" s="114" t="inlineStr">
        <is>
          <t>EN CONTRA contexto · Cobreloa dobles cambios 72': entran Porras y Gallardo (salen Sandoval y Quezada).</t>
        </is>
      </c>
    </row>
    <row r="11" ht="15" customHeight="1" s="74">
      <c r="A11" s="111" t="n">
        <v>10</v>
      </c>
      <c r="B11" s="112" t="n"/>
      <c r="C11" s="113" t="n">
        <v>74</v>
      </c>
      <c r="D11" s="113" t="inlineStr">
        <is>
          <t>Coquimbo Unido</t>
        </is>
      </c>
      <c r="E11" s="114" t="inlineStr">
        <is>
          <t>Facundo Pons</t>
        </is>
      </c>
      <c r="F11" s="114" t="inlineStr"/>
      <c r="G11" s="114" t="inlineStr">
        <is>
          <t>Incidencia</t>
        </is>
      </c>
      <c r="H11" s="113" t="inlineStr">
        <is>
          <t>—</t>
        </is>
      </c>
      <c r="I11" s="113" t="inlineStr">
        <is>
          <t>—</t>
        </is>
      </c>
      <c r="J11" s="113" t="inlineStr">
        <is>
          <t>—</t>
        </is>
      </c>
      <c r="K11" s="113" t="inlineStr">
        <is>
          <t>Empatando</t>
        </is>
      </c>
      <c r="L11" s="113" t="inlineStr">
        <is>
          <t>—</t>
        </is>
      </c>
      <c r="M11" s="113" t="inlineStr">
        <is>
          <t>—</t>
        </is>
      </c>
      <c r="N11" s="113" t="inlineStr">
        <is>
          <t>—</t>
        </is>
      </c>
      <c r="O11" s="113" t="inlineStr">
        <is>
          <t>—</t>
        </is>
      </c>
      <c r="P11" s="113" t="inlineStr">
        <is>
          <t>—</t>
        </is>
      </c>
      <c r="Q11" s="114" t="inlineStr">
        <is>
          <t>Coquimbo: entra Pons, sale Gino Alfaro (74').</t>
        </is>
      </c>
    </row>
    <row r="12" ht="15" customHeight="1" s="74">
      <c r="A12" s="111" t="n">
        <v>11</v>
      </c>
      <c r="B12" s="112" t="n"/>
      <c r="C12" s="113" t="n">
        <v>75</v>
      </c>
      <c r="D12" s="113" t="inlineStr">
        <is>
          <t>Coquimbo Unido</t>
        </is>
      </c>
      <c r="E12" s="114" t="inlineStr">
        <is>
          <t>Cristian Zavala</t>
        </is>
      </c>
      <c r="F12" s="114" t="inlineStr"/>
      <c r="G12" s="114" t="inlineStr">
        <is>
          <t>Incidencia</t>
        </is>
      </c>
      <c r="H12" s="113" t="inlineStr">
        <is>
          <t>—</t>
        </is>
      </c>
      <c r="I12" s="113" t="inlineStr">
        <is>
          <t>—</t>
        </is>
      </c>
      <c r="J12" s="113" t="inlineStr">
        <is>
          <t>—</t>
        </is>
      </c>
      <c r="K12" s="113" t="inlineStr">
        <is>
          <t>Empatando</t>
        </is>
      </c>
      <c r="L12" s="113" t="inlineStr">
        <is>
          <t>—</t>
        </is>
      </c>
      <c r="M12" s="113" t="inlineStr">
        <is>
          <t>—</t>
        </is>
      </c>
      <c r="N12" s="113" t="inlineStr">
        <is>
          <t>—</t>
        </is>
      </c>
      <c r="O12" s="113" t="inlineStr">
        <is>
          <t>—</t>
        </is>
      </c>
      <c r="P12" s="113" t="inlineStr">
        <is>
          <t>—</t>
        </is>
      </c>
      <c r="Q12" s="114" t="inlineStr">
        <is>
          <t>Coquimbo: entra Zavala, sale Dixon Pereira (75'). CLAVE: Zavala dará el centro del 2-1.</t>
        </is>
      </c>
    </row>
    <row r="13" ht="15" customHeight="1" s="74">
      <c r="A13" s="111" t="n">
        <v>12</v>
      </c>
      <c r="B13" s="112" t="n"/>
      <c r="C13" s="113" t="n">
        <v>84</v>
      </c>
      <c r="D13" s="113" t="inlineStr">
        <is>
          <t>Coquimbo Unido</t>
        </is>
      </c>
      <c r="E13" s="114" t="inlineStr">
        <is>
          <t>Ythans Blanco</t>
        </is>
      </c>
      <c r="F13" s="114" t="inlineStr"/>
      <c r="G13" s="114" t="inlineStr">
        <is>
          <t>Incidencia</t>
        </is>
      </c>
      <c r="H13" s="113" t="inlineStr">
        <is>
          <t>—</t>
        </is>
      </c>
      <c r="I13" s="113" t="inlineStr">
        <is>
          <t>—</t>
        </is>
      </c>
      <c r="J13" s="113" t="inlineStr">
        <is>
          <t>—</t>
        </is>
      </c>
      <c r="K13" s="113" t="inlineStr">
        <is>
          <t>Empatando</t>
        </is>
      </c>
      <c r="L13" s="113" t="inlineStr">
        <is>
          <t>—</t>
        </is>
      </c>
      <c r="M13" s="113" t="inlineStr">
        <is>
          <t>—</t>
        </is>
      </c>
      <c r="N13" s="113" t="inlineStr">
        <is>
          <t>—</t>
        </is>
      </c>
      <c r="O13" s="113" t="inlineStr">
        <is>
          <t>—</t>
        </is>
      </c>
      <c r="P13" s="113" t="inlineStr">
        <is>
          <t>—</t>
        </is>
      </c>
      <c r="Q13" s="114" t="inlineStr">
        <is>
          <t>Coquimbo: entra Ythans Blanco (juvenil 17, debut profesional), sale Guido Vadalá (84'). CFDB registró la salida de Vadalá pero NO la entrada de Blanco (vacío de dato).</t>
        </is>
      </c>
    </row>
    <row r="14" ht="15" customHeight="1" s="74">
      <c r="A14" s="111" t="n">
        <v>13</v>
      </c>
      <c r="B14" s="112" t="n"/>
      <c r="C14" s="113" t="n">
        <v>87</v>
      </c>
      <c r="D14" s="113" t="inlineStr">
        <is>
          <t>Coquimbo Unido</t>
        </is>
      </c>
      <c r="E14" s="114" t="inlineStr">
        <is>
          <t>Ythans Blanco</t>
        </is>
      </c>
      <c r="F14" s="114" t="inlineStr">
        <is>
          <t>Org. ofensiva</t>
        </is>
      </c>
      <c r="G14" s="114" t="inlineStr">
        <is>
          <t>Finalización</t>
        </is>
      </c>
      <c r="H14" s="113" t="inlineStr">
        <is>
          <t>Finalización</t>
        </is>
      </c>
      <c r="I14" s="113" t="inlineStr">
        <is>
          <t>Z17</t>
        </is>
      </c>
      <c r="J14" s="113" t="inlineStr">
        <is>
          <t>Central</t>
        </is>
      </c>
      <c r="K14" s="113" t="inlineStr">
        <is>
          <t>Empatando</t>
        </is>
      </c>
      <c r="L14" s="113" t="inlineStr">
        <is>
          <t>Media</t>
        </is>
      </c>
      <c r="M14" s="113" t="inlineStr">
        <is>
          <t>Gol</t>
        </is>
      </c>
      <c r="N14" s="113" t="inlineStr">
        <is>
          <t>—</t>
        </is>
      </c>
      <c r="O14" s="113" t="inlineStr">
        <is>
          <t>—</t>
        </is>
      </c>
      <c r="P14" s="113" t="inlineStr">
        <is>
          <t>—</t>
        </is>
      </c>
      <c r="Q14" s="114" t="inlineStr">
        <is>
          <t>1-2 GANADOR (87') · asist. Cristian Zavala (centro), pivoteo previo de Pratto. Blanco anticipa a su marcador y define de primera al segundo palo. EVIDENCIA MEDIA: 2 videos + Cooperativa coinciden en Blanco; 1 fuente (partidos-de-hoy.cl) lo da como autogol de 'B. Gaete'; CFDB NO registró este gol. Criterio: se adopta Blanco por mayor peso de evidencia.</t>
        </is>
      </c>
    </row>
    <row r="15" ht="15" customHeight="1" s="74">
      <c r="A15" s="111" t="n">
        <v>14</v>
      </c>
      <c r="B15" s="112" t="n"/>
      <c r="C15" s="113" t="n">
        <v>90</v>
      </c>
      <c r="D15" s="113" t="inlineStr">
        <is>
          <t>Cobreloa</t>
        </is>
      </c>
      <c r="E15" s="114" t="inlineStr">
        <is>
          <t>Rodolfo González (C)</t>
        </is>
      </c>
      <c r="F15" s="114" t="inlineStr"/>
      <c r="G15" s="114" t="inlineStr">
        <is>
          <t>Incidencia</t>
        </is>
      </c>
      <c r="H15" s="113" t="inlineStr">
        <is>
          <t>—</t>
        </is>
      </c>
      <c r="I15" s="113" t="inlineStr">
        <is>
          <t>—</t>
        </is>
      </c>
      <c r="J15" s="113" t="inlineStr">
        <is>
          <t>—</t>
        </is>
      </c>
      <c r="K15" s="113" t="inlineStr">
        <is>
          <t>Ganando</t>
        </is>
      </c>
      <c r="L15" s="113" t="inlineStr">
        <is>
          <t>—</t>
        </is>
      </c>
      <c r="M15" s="113" t="inlineStr">
        <is>
          <t>—</t>
        </is>
      </c>
      <c r="N15" s="113" t="inlineStr">
        <is>
          <t>—</t>
        </is>
      </c>
      <c r="O15" s="113" t="inlineStr">
        <is>
          <t>—</t>
        </is>
      </c>
      <c r="P15" s="113" t="inlineStr">
        <is>
          <t>—</t>
        </is>
      </c>
      <c r="Q15" s="114" t="inlineStr">
        <is>
          <t>EN CONTRA contexto · Amarilla a R. González, capitán de Cobreloa (90').</t>
        </is>
      </c>
    </row>
    <row r="16" ht="15" customHeight="1" s="74">
      <c r="A16" s="115" t="n"/>
      <c r="B16" s="95" t="n"/>
      <c r="C16" s="95" t="n"/>
      <c r="D16" s="95" t="n"/>
      <c r="E16" s="94" t="n"/>
      <c r="F16" s="95" t="n"/>
      <c r="G16" s="95" t="n"/>
      <c r="H16" s="95" t="n"/>
      <c r="I16" s="95" t="n"/>
      <c r="J16" s="95" t="n"/>
      <c r="K16" s="95" t="n"/>
      <c r="L16" s="95" t="n"/>
      <c r="M16" s="95" t="n"/>
      <c r="N16" s="95" t="n"/>
      <c r="O16" s="95" t="n"/>
      <c r="P16" s="95" t="n"/>
      <c r="Q16" s="94" t="n"/>
    </row>
    <row r="17" ht="15" customHeight="1" s="74">
      <c r="A17" s="115" t="n"/>
      <c r="B17" s="95" t="n"/>
      <c r="C17" s="95" t="n"/>
      <c r="D17" s="95" t="n"/>
      <c r="E17" s="94" t="n"/>
      <c r="F17" s="95" t="n"/>
      <c r="G17" s="95" t="n"/>
      <c r="H17" s="95" t="n"/>
      <c r="I17" s="95" t="n"/>
      <c r="J17" s="95" t="n"/>
      <c r="K17" s="95" t="n"/>
      <c r="L17" s="95" t="n"/>
      <c r="M17" s="95" t="n"/>
      <c r="N17" s="95" t="n"/>
      <c r="O17" s="95" t="n"/>
      <c r="P17" s="95" t="n"/>
      <c r="Q17" s="94" t="n"/>
    </row>
    <row r="18" ht="15" customHeight="1" s="74">
      <c r="A18" s="115" t="n"/>
      <c r="B18" s="95" t="n"/>
      <c r="C18" s="95" t="n"/>
      <c r="D18" s="95" t="n"/>
      <c r="E18" s="94" t="n"/>
      <c r="F18" s="95" t="n"/>
      <c r="G18" s="95" t="n"/>
      <c r="H18" s="95" t="n"/>
      <c r="I18" s="95" t="n"/>
      <c r="J18" s="95" t="n"/>
      <c r="K18" s="95" t="n"/>
      <c r="L18" s="95" t="n"/>
      <c r="M18" s="95" t="n"/>
      <c r="N18" s="95" t="n"/>
      <c r="O18" s="95" t="n"/>
      <c r="P18" s="95" t="n"/>
      <c r="Q18" s="94" t="n"/>
    </row>
    <row r="19" ht="15" customHeight="1" s="74">
      <c r="A19" s="115" t="n"/>
      <c r="B19" s="95" t="n"/>
      <c r="C19" s="95" t="n"/>
      <c r="D19" s="95" t="n"/>
      <c r="E19" s="94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4" t="n"/>
    </row>
    <row r="20" ht="15" customHeight="1" s="74">
      <c r="A20" s="115" t="n"/>
      <c r="B20" s="95" t="n"/>
      <c r="C20" s="95" t="n"/>
      <c r="D20" s="95" t="n"/>
      <c r="E20" s="94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4" t="n"/>
    </row>
    <row r="21" ht="15" customHeight="1" s="74">
      <c r="A21" s="115" t="n"/>
      <c r="B21" s="95" t="n"/>
      <c r="C21" s="95" t="n"/>
      <c r="D21" s="95" t="n"/>
      <c r="E21" s="94" t="n"/>
      <c r="F21" s="95" t="n"/>
      <c r="G21" s="95" t="n"/>
      <c r="H21" s="95" t="n"/>
      <c r="I21" s="95" t="n"/>
      <c r="J21" s="95" t="n"/>
      <c r="K21" s="95" t="n"/>
      <c r="L21" s="95" t="n"/>
      <c r="M21" s="95" t="n"/>
      <c r="N21" s="95" t="n"/>
      <c r="O21" s="95" t="n"/>
      <c r="P21" s="95" t="n"/>
      <c r="Q21" s="94" t="n"/>
    </row>
    <row r="22" ht="15" customHeight="1" s="74">
      <c r="A22" s="115" t="n"/>
      <c r="B22" s="95" t="n"/>
      <c r="C22" s="95" t="n"/>
      <c r="D22" s="95" t="n"/>
      <c r="E22" s="94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4" t="n"/>
    </row>
    <row r="23" ht="15" customHeight="1" s="74">
      <c r="A23" s="115" t="n"/>
      <c r="B23" s="95" t="n"/>
      <c r="C23" s="95" t="n"/>
      <c r="D23" s="95" t="n"/>
      <c r="E23" s="94" t="n"/>
      <c r="F23" s="95" t="n"/>
      <c r="G23" s="95" t="n"/>
      <c r="H23" s="95" t="n"/>
      <c r="I23" s="95" t="n"/>
      <c r="J23" s="95" t="n"/>
      <c r="K23" s="95" t="n"/>
      <c r="L23" s="95" t="n"/>
      <c r="M23" s="95" t="n"/>
      <c r="N23" s="95" t="n"/>
      <c r="O23" s="95" t="n"/>
      <c r="P23" s="95" t="n"/>
      <c r="Q23" s="94" t="n"/>
    </row>
    <row r="24" ht="15" customHeight="1" s="74">
      <c r="A24" s="115" t="n"/>
      <c r="B24" s="95" t="n"/>
      <c r="C24" s="95" t="n"/>
      <c r="D24" s="95" t="n"/>
      <c r="E24" s="94" t="n"/>
      <c r="F24" s="95" t="n"/>
      <c r="G24" s="95" t="n"/>
      <c r="H24" s="95" t="n"/>
      <c r="I24" s="95" t="n"/>
      <c r="J24" s="95" t="n"/>
      <c r="K24" s="95" t="n"/>
      <c r="L24" s="95" t="n"/>
      <c r="M24" s="95" t="n"/>
      <c r="N24" s="95" t="n"/>
      <c r="O24" s="95" t="n"/>
      <c r="P24" s="95" t="n"/>
      <c r="Q24" s="94" t="n"/>
    </row>
    <row r="25" ht="15" customHeight="1" s="74">
      <c r="A25" s="115" t="n"/>
      <c r="B25" s="95" t="n"/>
      <c r="C25" s="95" t="n"/>
      <c r="D25" s="95" t="n"/>
      <c r="E25" s="94" t="n"/>
      <c r="F25" s="95" t="n"/>
      <c r="G25" s="95" t="n"/>
      <c r="H25" s="95" t="n"/>
      <c r="I25" s="95" t="n"/>
      <c r="J25" s="95" t="n"/>
      <c r="K25" s="95" t="n"/>
      <c r="L25" s="95" t="n"/>
      <c r="M25" s="95" t="n"/>
      <c r="N25" s="95" t="n"/>
      <c r="O25" s="95" t="n"/>
      <c r="P25" s="95" t="n"/>
      <c r="Q25" s="94" t="n"/>
    </row>
    <row r="26" ht="15" customHeight="1" s="74">
      <c r="A26" s="115" t="n"/>
      <c r="B26" s="95" t="n"/>
      <c r="C26" s="95" t="n"/>
      <c r="D26" s="95" t="n"/>
      <c r="E26" s="94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4" t="n"/>
    </row>
    <row r="27" ht="15" customHeight="1" s="74">
      <c r="A27" s="115" t="n"/>
      <c r="B27" s="95" t="n"/>
      <c r="C27" s="95" t="n"/>
      <c r="D27" s="95" t="n"/>
      <c r="E27" s="94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4" t="n"/>
    </row>
    <row r="28" ht="15" customHeight="1" s="74">
      <c r="A28" s="115" t="n"/>
      <c r="B28" s="95" t="n"/>
      <c r="C28" s="95" t="n"/>
      <c r="D28" s="95" t="n"/>
      <c r="E28" s="94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4" t="n"/>
    </row>
    <row r="29" ht="15" customHeight="1" s="74">
      <c r="A29" s="115" t="n"/>
      <c r="B29" s="95" t="n"/>
      <c r="C29" s="95" t="n"/>
      <c r="D29" s="95" t="n"/>
      <c r="E29" s="94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4" t="n"/>
    </row>
    <row r="30" ht="15" customHeight="1" s="74">
      <c r="A30" s="115" t="n"/>
      <c r="B30" s="95" t="n"/>
      <c r="C30" s="95" t="n"/>
      <c r="D30" s="95" t="n"/>
      <c r="E30" s="94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4" t="n"/>
    </row>
    <row r="31" ht="15" customHeight="1" s="74">
      <c r="A31" s="115" t="n"/>
      <c r="B31" s="95" t="n"/>
      <c r="C31" s="95" t="n"/>
      <c r="D31" s="95" t="n"/>
      <c r="E31" s="94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4" t="n"/>
    </row>
    <row r="32" ht="15" customHeight="1" s="74">
      <c r="A32" s="115" t="n"/>
      <c r="B32" s="95" t="n"/>
      <c r="C32" s="95" t="n"/>
      <c r="D32" s="95" t="n"/>
      <c r="E32" s="94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4" t="n"/>
    </row>
    <row r="33" ht="15" customHeight="1" s="74">
      <c r="A33" s="115" t="n"/>
      <c r="B33" s="95" t="n"/>
      <c r="C33" s="95" t="n"/>
      <c r="D33" s="95" t="n"/>
      <c r="E33" s="94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4" t="n"/>
    </row>
    <row r="34" ht="15" customHeight="1" s="74">
      <c r="A34" s="115" t="n"/>
      <c r="B34" s="95" t="n"/>
      <c r="C34" s="95" t="n"/>
      <c r="D34" s="95" t="n"/>
      <c r="E34" s="94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4" t="n"/>
    </row>
    <row r="35" ht="15" customHeight="1" s="74">
      <c r="A35" s="115" t="n"/>
      <c r="B35" s="95" t="n"/>
      <c r="C35" s="95" t="n"/>
      <c r="D35" s="95" t="n"/>
      <c r="E35" s="94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4" t="n"/>
    </row>
    <row r="36" ht="15" customHeight="1" s="74">
      <c r="A36" s="115" t="n"/>
      <c r="B36" s="95" t="n"/>
      <c r="C36" s="95" t="n"/>
      <c r="D36" s="95" t="n"/>
      <c r="E36" s="94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4" t="n"/>
    </row>
    <row r="37" ht="15" customHeight="1" s="74">
      <c r="A37" s="115" t="n"/>
      <c r="B37" s="95" t="n"/>
      <c r="C37" s="95" t="n"/>
      <c r="D37" s="95" t="n"/>
      <c r="E37" s="94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4" t="n"/>
    </row>
    <row r="38" ht="15" customHeight="1" s="74">
      <c r="A38" s="115" t="n"/>
      <c r="B38" s="95" t="n"/>
      <c r="C38" s="95" t="n"/>
      <c r="D38" s="95" t="n"/>
      <c r="E38" s="94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4" t="n"/>
    </row>
    <row r="39" ht="15" customHeight="1" s="74">
      <c r="A39" s="115" t="n"/>
      <c r="B39" s="95" t="n"/>
      <c r="C39" s="95" t="n"/>
      <c r="D39" s="95" t="n"/>
      <c r="E39" s="94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4" t="n"/>
    </row>
    <row r="40" ht="15" customHeight="1" s="74">
      <c r="A40" s="115" t="n"/>
      <c r="B40" s="95" t="n"/>
      <c r="C40" s="95" t="n"/>
      <c r="D40" s="95" t="n"/>
      <c r="E40" s="94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4" t="n"/>
    </row>
    <row r="41" ht="15" customHeight="1" s="74">
      <c r="A41" s="115" t="n"/>
      <c r="B41" s="95" t="n"/>
      <c r="C41" s="95" t="n"/>
      <c r="D41" s="95" t="n"/>
      <c r="E41" s="94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4" t="n"/>
    </row>
    <row r="42" ht="15" customHeight="1" s="74">
      <c r="A42" s="115" t="n"/>
      <c r="B42" s="95" t="n"/>
      <c r="C42" s="95" t="n"/>
      <c r="D42" s="95" t="n"/>
      <c r="E42" s="94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4" t="n"/>
    </row>
    <row r="43" ht="15" customHeight="1" s="74">
      <c r="A43" s="115" t="n"/>
      <c r="B43" s="95" t="n"/>
      <c r="C43" s="95" t="n"/>
      <c r="D43" s="95" t="n"/>
      <c r="E43" s="94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4" t="n"/>
    </row>
    <row r="44" ht="15" customHeight="1" s="74">
      <c r="A44" s="115" t="n"/>
      <c r="B44" s="95" t="n"/>
      <c r="C44" s="95" t="n"/>
      <c r="D44" s="95" t="n"/>
      <c r="E44" s="94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4" t="n"/>
    </row>
    <row r="45" ht="15" customHeight="1" s="74">
      <c r="A45" s="115" t="n"/>
      <c r="B45" s="95" t="n"/>
      <c r="C45" s="95" t="n"/>
      <c r="D45" s="95" t="n"/>
      <c r="E45" s="94" t="n"/>
      <c r="F45" s="95" t="n"/>
      <c r="G45" s="95" t="n"/>
      <c r="H45" s="95" t="n"/>
      <c r="I45" s="95" t="n"/>
      <c r="J45" s="95" t="n"/>
      <c r="K45" s="95" t="n"/>
      <c r="L45" s="95" t="n"/>
      <c r="M45" s="95" t="n"/>
      <c r="N45" s="95" t="n"/>
      <c r="O45" s="95" t="n"/>
      <c r="P45" s="95" t="n"/>
      <c r="Q45" s="94" t="n"/>
    </row>
    <row r="46" ht="15" customHeight="1" s="74">
      <c r="A46" s="115" t="n"/>
      <c r="B46" s="95" t="n"/>
      <c r="C46" s="95" t="n"/>
      <c r="D46" s="95" t="n"/>
      <c r="E46" s="94" t="n"/>
      <c r="F46" s="95" t="n"/>
      <c r="G46" s="95" t="n"/>
      <c r="H46" s="95" t="n"/>
      <c r="I46" s="95" t="n"/>
      <c r="J46" s="95" t="n"/>
      <c r="K46" s="95" t="n"/>
      <c r="L46" s="95" t="n"/>
      <c r="M46" s="95" t="n"/>
      <c r="N46" s="95" t="n"/>
      <c r="O46" s="95" t="n"/>
      <c r="P46" s="95" t="n"/>
      <c r="Q46" s="94" t="n"/>
    </row>
    <row r="47" ht="15" customHeight="1" s="74">
      <c r="A47" s="115" t="n"/>
      <c r="B47" s="95" t="n"/>
      <c r="C47" s="95" t="n"/>
      <c r="D47" s="95" t="n"/>
      <c r="E47" s="94" t="n"/>
      <c r="F47" s="95" t="n"/>
      <c r="G47" s="95" t="n"/>
      <c r="H47" s="95" t="n"/>
      <c r="I47" s="95" t="n"/>
      <c r="J47" s="95" t="n"/>
      <c r="K47" s="95" t="n"/>
      <c r="L47" s="95" t="n"/>
      <c r="M47" s="95" t="n"/>
      <c r="N47" s="95" t="n"/>
      <c r="O47" s="95" t="n"/>
      <c r="P47" s="95" t="n"/>
      <c r="Q47" s="94" t="n"/>
    </row>
    <row r="48" ht="15" customHeight="1" s="74">
      <c r="A48" s="115" t="n"/>
      <c r="B48" s="95" t="n"/>
      <c r="C48" s="95" t="n"/>
      <c r="D48" s="95" t="n"/>
      <c r="E48" s="94" t="n"/>
      <c r="F48" s="95" t="n"/>
      <c r="G48" s="95" t="n"/>
      <c r="H48" s="95" t="n"/>
      <c r="I48" s="95" t="n"/>
      <c r="J48" s="95" t="n"/>
      <c r="K48" s="95" t="n"/>
      <c r="L48" s="95" t="n"/>
      <c r="M48" s="95" t="n"/>
      <c r="N48" s="95" t="n"/>
      <c r="O48" s="95" t="n"/>
      <c r="P48" s="95" t="n"/>
      <c r="Q48" s="94" t="n"/>
    </row>
    <row r="49" ht="15" customHeight="1" s="74">
      <c r="A49" s="115" t="n"/>
      <c r="B49" s="95" t="n"/>
      <c r="C49" s="95" t="n"/>
      <c r="D49" s="95" t="n"/>
      <c r="E49" s="94" t="n"/>
      <c r="F49" s="95" t="n"/>
      <c r="G49" s="95" t="n"/>
      <c r="H49" s="95" t="n"/>
      <c r="I49" s="95" t="n"/>
      <c r="J49" s="95" t="n"/>
      <c r="K49" s="95" t="n"/>
      <c r="L49" s="95" t="n"/>
      <c r="M49" s="95" t="n"/>
      <c r="N49" s="95" t="n"/>
      <c r="O49" s="95" t="n"/>
      <c r="P49" s="95" t="n"/>
      <c r="Q49" s="94" t="n"/>
    </row>
    <row r="50" ht="15" customHeight="1" s="74">
      <c r="A50" s="115" t="n"/>
      <c r="B50" s="95" t="n"/>
      <c r="C50" s="95" t="n"/>
      <c r="D50" s="95" t="n"/>
      <c r="E50" s="94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4" t="n"/>
    </row>
    <row r="51" ht="15" customHeight="1" s="74">
      <c r="A51" s="115" t="n"/>
      <c r="B51" s="95" t="n"/>
      <c r="C51" s="95" t="n"/>
      <c r="D51" s="95" t="n"/>
      <c r="E51" s="94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4" t="n"/>
    </row>
    <row r="52" ht="15" customHeight="1" s="74">
      <c r="A52" s="115" t="n"/>
      <c r="B52" s="95" t="n"/>
      <c r="C52" s="95" t="n"/>
      <c r="D52" s="95" t="n"/>
      <c r="E52" s="94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4" t="n"/>
    </row>
    <row r="53" ht="15" customHeight="1" s="74">
      <c r="A53" s="115" t="n"/>
      <c r="B53" s="95" t="n"/>
      <c r="C53" s="95" t="n"/>
      <c r="D53" s="95" t="n"/>
      <c r="E53" s="94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4" t="n"/>
    </row>
    <row r="54" ht="15" customHeight="1" s="74">
      <c r="A54" s="115" t="n"/>
      <c r="B54" s="95" t="n"/>
      <c r="C54" s="95" t="n"/>
      <c r="D54" s="95" t="n"/>
      <c r="E54" s="94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4" t="n"/>
    </row>
    <row r="55" ht="15" customHeight="1" s="74">
      <c r="A55" s="115" t="n"/>
      <c r="B55" s="95" t="n"/>
      <c r="C55" s="95" t="n"/>
      <c r="D55" s="95" t="n"/>
      <c r="E55" s="94" t="n"/>
      <c r="F55" s="95" t="n"/>
      <c r="G55" s="95" t="n"/>
      <c r="H55" s="95" t="n"/>
      <c r="I55" s="95" t="n"/>
      <c r="J55" s="95" t="n"/>
      <c r="K55" s="95" t="n"/>
      <c r="L55" s="95" t="n"/>
      <c r="M55" s="95" t="n"/>
      <c r="N55" s="95" t="n"/>
      <c r="O55" s="95" t="n"/>
      <c r="P55" s="95" t="n"/>
      <c r="Q55" s="94" t="n"/>
    </row>
    <row r="56" ht="15" customHeight="1" s="74">
      <c r="A56" s="115" t="n"/>
      <c r="B56" s="95" t="n"/>
      <c r="C56" s="95" t="n"/>
      <c r="D56" s="95" t="n"/>
      <c r="E56" s="94" t="n"/>
      <c r="F56" s="95" t="n"/>
      <c r="G56" s="95" t="n"/>
      <c r="H56" s="95" t="n"/>
      <c r="I56" s="95" t="n"/>
      <c r="J56" s="95" t="n"/>
      <c r="K56" s="95" t="n"/>
      <c r="L56" s="95" t="n"/>
      <c r="M56" s="95" t="n"/>
      <c r="N56" s="95" t="n"/>
      <c r="O56" s="95" t="n"/>
      <c r="P56" s="95" t="n"/>
      <c r="Q56" s="94" t="n"/>
    </row>
    <row r="57" ht="15" customHeight="1" s="74">
      <c r="A57" s="115" t="n"/>
      <c r="B57" s="95" t="n"/>
      <c r="C57" s="95" t="n"/>
      <c r="D57" s="95" t="n"/>
      <c r="E57" s="94" t="n"/>
      <c r="F57" s="95" t="n"/>
      <c r="G57" s="95" t="n"/>
      <c r="H57" s="95" t="n"/>
      <c r="I57" s="95" t="n"/>
      <c r="J57" s="95" t="n"/>
      <c r="K57" s="95" t="n"/>
      <c r="L57" s="95" t="n"/>
      <c r="M57" s="95" t="n"/>
      <c r="N57" s="95" t="n"/>
      <c r="O57" s="95" t="n"/>
      <c r="P57" s="95" t="n"/>
      <c r="Q57" s="94" t="n"/>
    </row>
    <row r="58" ht="15" customHeight="1" s="74">
      <c r="A58" s="115" t="n"/>
      <c r="B58" s="95" t="n"/>
      <c r="C58" s="95" t="n"/>
      <c r="D58" s="95" t="n"/>
      <c r="E58" s="94" t="n"/>
      <c r="F58" s="95" t="n"/>
      <c r="G58" s="95" t="n"/>
      <c r="H58" s="95" t="n"/>
      <c r="I58" s="95" t="n"/>
      <c r="J58" s="95" t="n"/>
      <c r="K58" s="95" t="n"/>
      <c r="L58" s="95" t="n"/>
      <c r="M58" s="95" t="n"/>
      <c r="N58" s="95" t="n"/>
      <c r="O58" s="95" t="n"/>
      <c r="P58" s="95" t="n"/>
      <c r="Q58" s="94" t="n"/>
    </row>
    <row r="59" ht="15" customHeight="1" s="74">
      <c r="A59" s="115" t="n"/>
      <c r="B59" s="95" t="n"/>
      <c r="C59" s="95" t="n"/>
      <c r="D59" s="95" t="n"/>
      <c r="E59" s="94" t="n"/>
      <c r="F59" s="95" t="n"/>
      <c r="G59" s="95" t="n"/>
      <c r="H59" s="95" t="n"/>
      <c r="I59" s="95" t="n"/>
      <c r="J59" s="95" t="n"/>
      <c r="K59" s="95" t="n"/>
      <c r="L59" s="95" t="n"/>
      <c r="M59" s="95" t="n"/>
      <c r="N59" s="95" t="n"/>
      <c r="O59" s="95" t="n"/>
      <c r="P59" s="95" t="n"/>
      <c r="Q59" s="94" t="n"/>
    </row>
    <row r="60" ht="15" customHeight="1" s="74">
      <c r="A60" s="115" t="n"/>
      <c r="B60" s="95" t="n"/>
      <c r="C60" s="95" t="n"/>
      <c r="D60" s="95" t="n"/>
      <c r="E60" s="94" t="n"/>
      <c r="F60" s="95" t="n"/>
      <c r="G60" s="95" t="n"/>
      <c r="H60" s="95" t="n"/>
      <c r="I60" s="95" t="n"/>
      <c r="J60" s="95" t="n"/>
      <c r="K60" s="95" t="n"/>
      <c r="L60" s="95" t="n"/>
      <c r="M60" s="95" t="n"/>
      <c r="N60" s="95" t="n"/>
      <c r="O60" s="95" t="n"/>
      <c r="P60" s="95" t="n"/>
      <c r="Q60" s="94" t="n"/>
    </row>
    <row r="61" ht="15" customHeight="1" s="74">
      <c r="A61" s="115" t="n"/>
      <c r="B61" s="95" t="n"/>
      <c r="C61" s="95" t="n"/>
      <c r="D61" s="95" t="n"/>
      <c r="E61" s="94" t="n"/>
      <c r="F61" s="95" t="n"/>
      <c r="G61" s="95" t="n"/>
      <c r="H61" s="95" t="n"/>
      <c r="I61" s="95" t="n"/>
      <c r="J61" s="95" t="n"/>
      <c r="K61" s="95" t="n"/>
      <c r="L61" s="95" t="n"/>
      <c r="M61" s="95" t="n"/>
      <c r="N61" s="95" t="n"/>
      <c r="O61" s="95" t="n"/>
      <c r="P61" s="95" t="n"/>
      <c r="Q61" s="94" t="n"/>
    </row>
    <row r="62" ht="15" customHeight="1" s="74">
      <c r="A62" s="115" t="n"/>
      <c r="B62" s="95" t="n"/>
      <c r="C62" s="95" t="n"/>
      <c r="D62" s="95" t="n"/>
      <c r="E62" s="94" t="n"/>
      <c r="F62" s="95" t="n"/>
      <c r="G62" s="95" t="n"/>
      <c r="H62" s="95" t="n"/>
      <c r="I62" s="95" t="n"/>
      <c r="J62" s="95" t="n"/>
      <c r="K62" s="95" t="n"/>
      <c r="L62" s="95" t="n"/>
      <c r="M62" s="95" t="n"/>
      <c r="N62" s="95" t="n"/>
      <c r="O62" s="95" t="n"/>
      <c r="P62" s="95" t="n"/>
      <c r="Q62" s="94" t="n"/>
    </row>
    <row r="63" ht="15" customHeight="1" s="74">
      <c r="A63" s="115" t="n"/>
      <c r="B63" s="95" t="n"/>
      <c r="C63" s="95" t="n"/>
      <c r="D63" s="95" t="n"/>
      <c r="E63" s="94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95" t="n"/>
      <c r="P63" s="95" t="n"/>
      <c r="Q63" s="94" t="n"/>
    </row>
    <row r="64" ht="15" customHeight="1" s="74">
      <c r="A64" s="115" t="n"/>
      <c r="B64" s="95" t="n"/>
      <c r="C64" s="95" t="n"/>
      <c r="D64" s="95" t="n"/>
      <c r="E64" s="94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95" t="n"/>
      <c r="P64" s="95" t="n"/>
      <c r="Q64" s="94" t="n"/>
    </row>
    <row r="65" ht="15" customHeight="1" s="74">
      <c r="A65" s="115" t="n"/>
      <c r="B65" s="95" t="n"/>
      <c r="C65" s="95" t="n"/>
      <c r="D65" s="95" t="n"/>
      <c r="E65" s="94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95" t="n"/>
      <c r="P65" s="95" t="n"/>
      <c r="Q65" s="94" t="n"/>
    </row>
    <row r="66" ht="15" customHeight="1" s="74">
      <c r="A66" s="115" t="n"/>
      <c r="B66" s="95" t="n"/>
      <c r="C66" s="95" t="n"/>
      <c r="D66" s="95" t="n"/>
      <c r="E66" s="94" t="n"/>
      <c r="F66" s="95" t="n"/>
      <c r="G66" s="95" t="n"/>
      <c r="H66" s="95" t="n"/>
      <c r="I66" s="95" t="n"/>
      <c r="J66" s="95" t="n"/>
      <c r="K66" s="95" t="n"/>
      <c r="L66" s="95" t="n"/>
      <c r="M66" s="95" t="n"/>
      <c r="N66" s="95" t="n"/>
      <c r="O66" s="95" t="n"/>
      <c r="P66" s="95" t="n"/>
      <c r="Q66" s="94" t="n"/>
    </row>
    <row r="67" ht="15" customHeight="1" s="74">
      <c r="A67" s="115" t="n"/>
      <c r="B67" s="95" t="n"/>
      <c r="C67" s="95" t="n"/>
      <c r="D67" s="95" t="n"/>
      <c r="E67" s="94" t="n"/>
      <c r="F67" s="95" t="n"/>
      <c r="G67" s="95" t="n"/>
      <c r="H67" s="95" t="n"/>
      <c r="I67" s="95" t="n"/>
      <c r="J67" s="95" t="n"/>
      <c r="K67" s="95" t="n"/>
      <c r="L67" s="95" t="n"/>
      <c r="M67" s="95" t="n"/>
      <c r="N67" s="95" t="n"/>
      <c r="O67" s="95" t="n"/>
      <c r="P67" s="95" t="n"/>
      <c r="Q67" s="94" t="n"/>
    </row>
    <row r="68" ht="15" customHeight="1" s="74">
      <c r="A68" s="115" t="n"/>
      <c r="B68" s="95" t="n"/>
      <c r="C68" s="95" t="n"/>
      <c r="D68" s="95" t="n"/>
      <c r="E68" s="94" t="n"/>
      <c r="F68" s="95" t="n"/>
      <c r="G68" s="95" t="n"/>
      <c r="H68" s="95" t="n"/>
      <c r="I68" s="95" t="n"/>
      <c r="J68" s="95" t="n"/>
      <c r="K68" s="95" t="n"/>
      <c r="L68" s="95" t="n"/>
      <c r="M68" s="95" t="n"/>
      <c r="N68" s="95" t="n"/>
      <c r="O68" s="95" t="n"/>
      <c r="P68" s="95" t="n"/>
      <c r="Q68" s="94" t="n"/>
    </row>
    <row r="69" ht="15" customHeight="1" s="74">
      <c r="A69" s="115" t="n"/>
      <c r="B69" s="95" t="n"/>
      <c r="C69" s="95" t="n"/>
      <c r="D69" s="95" t="n"/>
      <c r="E69" s="94" t="n"/>
      <c r="F69" s="95" t="n"/>
      <c r="G69" s="95" t="n"/>
      <c r="H69" s="95" t="n"/>
      <c r="I69" s="95" t="n"/>
      <c r="J69" s="95" t="n"/>
      <c r="K69" s="95" t="n"/>
      <c r="L69" s="95" t="n"/>
      <c r="M69" s="95" t="n"/>
      <c r="N69" s="95" t="n"/>
      <c r="O69" s="95" t="n"/>
      <c r="P69" s="95" t="n"/>
      <c r="Q69" s="94" t="n"/>
    </row>
    <row r="70" ht="15" customHeight="1" s="74">
      <c r="A70" s="115" t="n"/>
      <c r="B70" s="95" t="n"/>
      <c r="C70" s="95" t="n"/>
      <c r="D70" s="95" t="n"/>
      <c r="E70" s="94" t="n"/>
      <c r="F70" s="95" t="n"/>
      <c r="G70" s="95" t="n"/>
      <c r="H70" s="95" t="n"/>
      <c r="I70" s="95" t="n"/>
      <c r="J70" s="95" t="n"/>
      <c r="K70" s="95" t="n"/>
      <c r="L70" s="95" t="n"/>
      <c r="M70" s="95" t="n"/>
      <c r="N70" s="95" t="n"/>
      <c r="O70" s="95" t="n"/>
      <c r="P70" s="95" t="n"/>
      <c r="Q70" s="94" t="n"/>
    </row>
    <row r="71" ht="15" customHeight="1" s="74">
      <c r="A71" s="115" t="n"/>
      <c r="B71" s="95" t="n"/>
      <c r="C71" s="95" t="n"/>
      <c r="D71" s="95" t="n"/>
      <c r="E71" s="94" t="n"/>
      <c r="F71" s="95" t="n"/>
      <c r="G71" s="95" t="n"/>
      <c r="H71" s="95" t="n"/>
      <c r="I71" s="95" t="n"/>
      <c r="J71" s="95" t="n"/>
      <c r="K71" s="95" t="n"/>
      <c r="L71" s="95" t="n"/>
      <c r="M71" s="95" t="n"/>
      <c r="N71" s="95" t="n"/>
      <c r="O71" s="95" t="n"/>
      <c r="P71" s="95" t="n"/>
      <c r="Q71" s="94" t="n"/>
    </row>
    <row r="72" ht="15" customHeight="1" s="74">
      <c r="A72" s="115" t="n"/>
      <c r="B72" s="95" t="n"/>
      <c r="C72" s="95" t="n"/>
      <c r="D72" s="95" t="n"/>
      <c r="E72" s="94" t="n"/>
      <c r="F72" s="95" t="n"/>
      <c r="G72" s="95" t="n"/>
      <c r="H72" s="95" t="n"/>
      <c r="I72" s="95" t="n"/>
      <c r="J72" s="95" t="n"/>
      <c r="K72" s="95" t="n"/>
      <c r="L72" s="95" t="n"/>
      <c r="M72" s="95" t="n"/>
      <c r="N72" s="95" t="n"/>
      <c r="O72" s="95" t="n"/>
      <c r="P72" s="95" t="n"/>
      <c r="Q72" s="94" t="n"/>
    </row>
    <row r="73" ht="15" customHeight="1" s="74">
      <c r="A73" s="115" t="n"/>
      <c r="B73" s="95" t="n"/>
      <c r="C73" s="95" t="n"/>
      <c r="D73" s="95" t="n"/>
      <c r="E73" s="94" t="n"/>
      <c r="F73" s="95" t="n"/>
      <c r="G73" s="95" t="n"/>
      <c r="H73" s="95" t="n"/>
      <c r="I73" s="95" t="n"/>
      <c r="J73" s="95" t="n"/>
      <c r="K73" s="95" t="n"/>
      <c r="L73" s="95" t="n"/>
      <c r="M73" s="95" t="n"/>
      <c r="N73" s="95" t="n"/>
      <c r="O73" s="95" t="n"/>
      <c r="P73" s="95" t="n"/>
      <c r="Q73" s="94" t="n"/>
    </row>
    <row r="74" ht="15" customHeight="1" s="74">
      <c r="A74" s="115" t="n"/>
      <c r="B74" s="95" t="n"/>
      <c r="C74" s="95" t="n"/>
      <c r="D74" s="95" t="n"/>
      <c r="E74" s="94" t="n"/>
      <c r="F74" s="95" t="n"/>
      <c r="G74" s="95" t="n"/>
      <c r="H74" s="95" t="n"/>
      <c r="I74" s="95" t="n"/>
      <c r="J74" s="95" t="n"/>
      <c r="K74" s="95" t="n"/>
      <c r="L74" s="95" t="n"/>
      <c r="M74" s="95" t="n"/>
      <c r="N74" s="95" t="n"/>
      <c r="O74" s="95" t="n"/>
      <c r="P74" s="95" t="n"/>
      <c r="Q74" s="94" t="n"/>
    </row>
    <row r="75" ht="15" customHeight="1" s="74">
      <c r="A75" s="115" t="n"/>
      <c r="B75" s="95" t="n"/>
      <c r="C75" s="95" t="n"/>
      <c r="D75" s="95" t="n"/>
      <c r="E75" s="94" t="n"/>
      <c r="F75" s="95" t="n"/>
      <c r="G75" s="95" t="n"/>
      <c r="H75" s="95" t="n"/>
      <c r="I75" s="95" t="n"/>
      <c r="J75" s="95" t="n"/>
      <c r="K75" s="95" t="n"/>
      <c r="L75" s="95" t="n"/>
      <c r="M75" s="95" t="n"/>
      <c r="N75" s="95" t="n"/>
      <c r="O75" s="95" t="n"/>
      <c r="P75" s="95" t="n"/>
      <c r="Q75" s="94" t="n"/>
    </row>
    <row r="76" ht="15" customHeight="1" s="74">
      <c r="A76" s="115" t="n"/>
      <c r="B76" s="95" t="n"/>
      <c r="C76" s="95" t="n"/>
      <c r="D76" s="95" t="n"/>
      <c r="E76" s="94" t="n"/>
      <c r="F76" s="95" t="n"/>
      <c r="G76" s="95" t="n"/>
      <c r="H76" s="95" t="n"/>
      <c r="I76" s="95" t="n"/>
      <c r="J76" s="95" t="n"/>
      <c r="K76" s="95" t="n"/>
      <c r="L76" s="95" t="n"/>
      <c r="M76" s="95" t="n"/>
      <c r="N76" s="95" t="n"/>
      <c r="O76" s="95" t="n"/>
      <c r="P76" s="95" t="n"/>
      <c r="Q76" s="94" t="n"/>
    </row>
    <row r="77" ht="15" customHeight="1" s="74">
      <c r="A77" s="115" t="n"/>
      <c r="B77" s="95" t="n"/>
      <c r="C77" s="95" t="n"/>
      <c r="D77" s="95" t="n"/>
      <c r="E77" s="94" t="n"/>
      <c r="F77" s="95" t="n"/>
      <c r="G77" s="95" t="n"/>
      <c r="H77" s="95" t="n"/>
      <c r="I77" s="95" t="n"/>
      <c r="J77" s="95" t="n"/>
      <c r="K77" s="95" t="n"/>
      <c r="L77" s="95" t="n"/>
      <c r="M77" s="95" t="n"/>
      <c r="N77" s="95" t="n"/>
      <c r="O77" s="95" t="n"/>
      <c r="P77" s="95" t="n"/>
      <c r="Q77" s="94" t="n"/>
    </row>
    <row r="78" ht="15" customHeight="1" s="74">
      <c r="A78" s="115" t="n"/>
      <c r="B78" s="95" t="n"/>
      <c r="C78" s="95" t="n"/>
      <c r="D78" s="95" t="n"/>
      <c r="E78" s="94" t="n"/>
      <c r="F78" s="95" t="n"/>
      <c r="G78" s="95" t="n"/>
      <c r="H78" s="95" t="n"/>
      <c r="I78" s="95" t="n"/>
      <c r="J78" s="95" t="n"/>
      <c r="K78" s="95" t="n"/>
      <c r="L78" s="95" t="n"/>
      <c r="M78" s="95" t="n"/>
      <c r="N78" s="95" t="n"/>
      <c r="O78" s="95" t="n"/>
      <c r="P78" s="95" t="n"/>
      <c r="Q78" s="94" t="n"/>
    </row>
    <row r="79" ht="15" customHeight="1" s="74">
      <c r="A79" s="115" t="n"/>
      <c r="B79" s="95" t="n"/>
      <c r="C79" s="95" t="n"/>
      <c r="D79" s="95" t="n"/>
      <c r="E79" s="94" t="n"/>
      <c r="F79" s="95" t="n"/>
      <c r="G79" s="95" t="n"/>
      <c r="H79" s="95" t="n"/>
      <c r="I79" s="95" t="n"/>
      <c r="J79" s="95" t="n"/>
      <c r="K79" s="95" t="n"/>
      <c r="L79" s="95" t="n"/>
      <c r="M79" s="95" t="n"/>
      <c r="N79" s="95" t="n"/>
      <c r="O79" s="95" t="n"/>
      <c r="P79" s="95" t="n"/>
      <c r="Q79" s="94" t="n"/>
    </row>
    <row r="80" ht="15" customHeight="1" s="74">
      <c r="A80" s="115" t="n"/>
      <c r="B80" s="95" t="n"/>
      <c r="C80" s="95" t="n"/>
      <c r="D80" s="95" t="n"/>
      <c r="E80" s="94" t="n"/>
      <c r="F80" s="95" t="n"/>
      <c r="G80" s="95" t="n"/>
      <c r="H80" s="95" t="n"/>
      <c r="I80" s="95" t="n"/>
      <c r="J80" s="95" t="n"/>
      <c r="K80" s="95" t="n"/>
      <c r="L80" s="95" t="n"/>
      <c r="M80" s="95" t="n"/>
      <c r="N80" s="95" t="n"/>
      <c r="O80" s="95" t="n"/>
      <c r="P80" s="95" t="n"/>
      <c r="Q80" s="94" t="n"/>
    </row>
    <row r="81" ht="15" customHeight="1" s="74">
      <c r="A81" s="115" t="n"/>
      <c r="B81" s="95" t="n"/>
      <c r="C81" s="95" t="n"/>
      <c r="D81" s="95" t="n"/>
      <c r="E81" s="94" t="n"/>
      <c r="F81" s="95" t="n"/>
      <c r="G81" s="95" t="n"/>
      <c r="H81" s="95" t="n"/>
      <c r="I81" s="95" t="n"/>
      <c r="J81" s="95" t="n"/>
      <c r="K81" s="95" t="n"/>
      <c r="L81" s="95" t="n"/>
      <c r="M81" s="95" t="n"/>
      <c r="N81" s="95" t="n"/>
      <c r="O81" s="95" t="n"/>
      <c r="P81" s="95" t="n"/>
      <c r="Q81" s="94" t="n"/>
    </row>
    <row r="82" ht="15" customHeight="1" s="74">
      <c r="A82" s="115" t="n"/>
      <c r="B82" s="95" t="n"/>
      <c r="C82" s="95" t="n"/>
      <c r="D82" s="95" t="n"/>
      <c r="E82" s="94" t="n"/>
      <c r="F82" s="95" t="n"/>
      <c r="G82" s="95" t="n"/>
      <c r="H82" s="95" t="n"/>
      <c r="I82" s="95" t="n"/>
      <c r="J82" s="95" t="n"/>
      <c r="K82" s="95" t="n"/>
      <c r="L82" s="95" t="n"/>
      <c r="M82" s="95" t="n"/>
      <c r="N82" s="95" t="n"/>
      <c r="O82" s="95" t="n"/>
      <c r="P82" s="95" t="n"/>
      <c r="Q82" s="94" t="n"/>
    </row>
    <row r="83" ht="15" customHeight="1" s="74">
      <c r="A83" s="115" t="n"/>
      <c r="B83" s="95" t="n"/>
      <c r="C83" s="95" t="n"/>
      <c r="D83" s="95" t="n"/>
      <c r="E83" s="94" t="n"/>
      <c r="F83" s="95" t="n"/>
      <c r="G83" s="95" t="n"/>
      <c r="H83" s="95" t="n"/>
      <c r="I83" s="95" t="n"/>
      <c r="J83" s="95" t="n"/>
      <c r="K83" s="95" t="n"/>
      <c r="L83" s="95" t="n"/>
      <c r="M83" s="95" t="n"/>
      <c r="N83" s="95" t="n"/>
      <c r="O83" s="95" t="n"/>
      <c r="P83" s="95" t="n"/>
      <c r="Q83" s="94" t="n"/>
    </row>
    <row r="84" ht="15" customHeight="1" s="74">
      <c r="A84" s="115" t="n"/>
      <c r="B84" s="95" t="n"/>
      <c r="C84" s="95" t="n"/>
      <c r="D84" s="95" t="n"/>
      <c r="E84" s="94" t="n"/>
      <c r="F84" s="95" t="n"/>
      <c r="G84" s="95" t="n"/>
      <c r="H84" s="95" t="n"/>
      <c r="I84" s="95" t="n"/>
      <c r="J84" s="95" t="n"/>
      <c r="K84" s="95" t="n"/>
      <c r="L84" s="95" t="n"/>
      <c r="M84" s="95" t="n"/>
      <c r="N84" s="95" t="n"/>
      <c r="O84" s="95" t="n"/>
      <c r="P84" s="95" t="n"/>
      <c r="Q84" s="94" t="n"/>
    </row>
    <row r="85" ht="15" customHeight="1" s="74">
      <c r="A85" s="115" t="n"/>
      <c r="B85" s="95" t="n"/>
      <c r="C85" s="95" t="n"/>
      <c r="D85" s="95" t="n"/>
      <c r="E85" s="94" t="n"/>
      <c r="F85" s="95" t="n"/>
      <c r="G85" s="95" t="n"/>
      <c r="H85" s="95" t="n"/>
      <c r="I85" s="95" t="n"/>
      <c r="J85" s="95" t="n"/>
      <c r="K85" s="95" t="n"/>
      <c r="L85" s="95" t="n"/>
      <c r="M85" s="95" t="n"/>
      <c r="N85" s="95" t="n"/>
      <c r="O85" s="95" t="n"/>
      <c r="P85" s="95" t="n"/>
      <c r="Q85" s="94" t="n"/>
    </row>
    <row r="86" ht="15" customHeight="1" s="74">
      <c r="A86" s="115" t="n"/>
      <c r="B86" s="95" t="n"/>
      <c r="C86" s="95" t="n"/>
      <c r="D86" s="95" t="n"/>
      <c r="E86" s="94" t="n"/>
      <c r="F86" s="95" t="n"/>
      <c r="G86" s="95" t="n"/>
      <c r="H86" s="95" t="n"/>
      <c r="I86" s="95" t="n"/>
      <c r="J86" s="95" t="n"/>
      <c r="K86" s="95" t="n"/>
      <c r="L86" s="95" t="n"/>
      <c r="M86" s="95" t="n"/>
      <c r="N86" s="95" t="n"/>
      <c r="O86" s="95" t="n"/>
      <c r="P86" s="95" t="n"/>
      <c r="Q86" s="94" t="n"/>
    </row>
    <row r="87" ht="15" customHeight="1" s="74">
      <c r="A87" s="115" t="n"/>
      <c r="B87" s="95" t="n"/>
      <c r="C87" s="95" t="n"/>
      <c r="D87" s="95" t="n"/>
      <c r="E87" s="94" t="n"/>
      <c r="F87" s="95" t="n"/>
      <c r="G87" s="95" t="n"/>
      <c r="H87" s="95" t="n"/>
      <c r="I87" s="95" t="n"/>
      <c r="J87" s="95" t="n"/>
      <c r="K87" s="95" t="n"/>
      <c r="L87" s="95" t="n"/>
      <c r="M87" s="95" t="n"/>
      <c r="N87" s="95" t="n"/>
      <c r="O87" s="95" t="n"/>
      <c r="P87" s="95" t="n"/>
      <c r="Q87" s="94" t="n"/>
    </row>
    <row r="88" ht="15" customHeight="1" s="74">
      <c r="A88" s="115" t="n"/>
      <c r="B88" s="95" t="n"/>
      <c r="C88" s="95" t="n"/>
      <c r="D88" s="95" t="n"/>
      <c r="E88" s="94" t="n"/>
      <c r="F88" s="95" t="n"/>
      <c r="G88" s="95" t="n"/>
      <c r="H88" s="95" t="n"/>
      <c r="I88" s="95" t="n"/>
      <c r="J88" s="95" t="n"/>
      <c r="K88" s="95" t="n"/>
      <c r="L88" s="95" t="n"/>
      <c r="M88" s="95" t="n"/>
      <c r="N88" s="95" t="n"/>
      <c r="O88" s="95" t="n"/>
      <c r="P88" s="95" t="n"/>
      <c r="Q88" s="94" t="n"/>
    </row>
    <row r="89" ht="15" customHeight="1" s="74">
      <c r="A89" s="115" t="n"/>
      <c r="B89" s="95" t="n"/>
      <c r="C89" s="95" t="n"/>
      <c r="D89" s="95" t="n"/>
      <c r="E89" s="94" t="n"/>
      <c r="F89" s="95" t="n"/>
      <c r="G89" s="95" t="n"/>
      <c r="H89" s="95" t="n"/>
      <c r="I89" s="95" t="n"/>
      <c r="J89" s="95" t="n"/>
      <c r="K89" s="95" t="n"/>
      <c r="L89" s="95" t="n"/>
      <c r="M89" s="95" t="n"/>
      <c r="N89" s="95" t="n"/>
      <c r="O89" s="95" t="n"/>
      <c r="P89" s="95" t="n"/>
      <c r="Q89" s="94" t="n"/>
    </row>
    <row r="90" ht="15" customHeight="1" s="74">
      <c r="A90" s="115" t="n"/>
      <c r="B90" s="95" t="n"/>
      <c r="C90" s="95" t="n"/>
      <c r="D90" s="95" t="n"/>
      <c r="E90" s="94" t="n"/>
      <c r="F90" s="95" t="n"/>
      <c r="G90" s="95" t="n"/>
      <c r="H90" s="95" t="n"/>
      <c r="I90" s="95" t="n"/>
      <c r="J90" s="95" t="n"/>
      <c r="K90" s="95" t="n"/>
      <c r="L90" s="95" t="n"/>
      <c r="M90" s="95" t="n"/>
      <c r="N90" s="95" t="n"/>
      <c r="O90" s="95" t="n"/>
      <c r="P90" s="95" t="n"/>
      <c r="Q90" s="94" t="n"/>
    </row>
    <row r="91" ht="15" customHeight="1" s="74">
      <c r="A91" s="115" t="n"/>
      <c r="B91" s="95" t="n"/>
      <c r="C91" s="95" t="n"/>
      <c r="D91" s="95" t="n"/>
      <c r="E91" s="94" t="n"/>
      <c r="F91" s="95" t="n"/>
      <c r="G91" s="95" t="n"/>
      <c r="H91" s="95" t="n"/>
      <c r="I91" s="95" t="n"/>
      <c r="J91" s="95" t="n"/>
      <c r="K91" s="95" t="n"/>
      <c r="L91" s="95" t="n"/>
      <c r="M91" s="95" t="n"/>
      <c r="N91" s="95" t="n"/>
      <c r="O91" s="95" t="n"/>
      <c r="P91" s="95" t="n"/>
      <c r="Q91" s="94" t="n"/>
    </row>
    <row r="92" ht="15" customHeight="1" s="74">
      <c r="A92" s="115" t="n"/>
      <c r="B92" s="95" t="n"/>
      <c r="C92" s="95" t="n"/>
      <c r="D92" s="95" t="n"/>
      <c r="E92" s="94" t="n"/>
      <c r="F92" s="95" t="n"/>
      <c r="G92" s="95" t="n"/>
      <c r="H92" s="95" t="n"/>
      <c r="I92" s="95" t="n"/>
      <c r="J92" s="95" t="n"/>
      <c r="K92" s="95" t="n"/>
      <c r="L92" s="95" t="n"/>
      <c r="M92" s="95" t="n"/>
      <c r="N92" s="95" t="n"/>
      <c r="O92" s="95" t="n"/>
      <c r="P92" s="95" t="n"/>
      <c r="Q92" s="94" t="n"/>
    </row>
    <row r="93" ht="15" customHeight="1" s="74">
      <c r="A93" s="115" t="n"/>
      <c r="B93" s="95" t="n"/>
      <c r="C93" s="95" t="n"/>
      <c r="D93" s="95" t="n"/>
      <c r="E93" s="94" t="n"/>
      <c r="F93" s="95" t="n"/>
      <c r="G93" s="95" t="n"/>
      <c r="H93" s="95" t="n"/>
      <c r="I93" s="95" t="n"/>
      <c r="J93" s="95" t="n"/>
      <c r="K93" s="95" t="n"/>
      <c r="L93" s="95" t="n"/>
      <c r="M93" s="95" t="n"/>
      <c r="N93" s="95" t="n"/>
      <c r="O93" s="95" t="n"/>
      <c r="P93" s="95" t="n"/>
      <c r="Q93" s="94" t="n"/>
    </row>
    <row r="94" ht="15" customHeight="1" s="74">
      <c r="A94" s="115" t="n"/>
      <c r="B94" s="95" t="n"/>
      <c r="C94" s="95" t="n"/>
      <c r="D94" s="95" t="n"/>
      <c r="E94" s="94" t="n"/>
      <c r="F94" s="95" t="n"/>
      <c r="G94" s="95" t="n"/>
      <c r="H94" s="95" t="n"/>
      <c r="I94" s="95" t="n"/>
      <c r="J94" s="95" t="n"/>
      <c r="K94" s="95" t="n"/>
      <c r="L94" s="95" t="n"/>
      <c r="M94" s="95" t="n"/>
      <c r="N94" s="95" t="n"/>
      <c r="O94" s="95" t="n"/>
      <c r="P94" s="95" t="n"/>
      <c r="Q94" s="94" t="n"/>
    </row>
    <row r="95" ht="15" customHeight="1" s="74">
      <c r="A95" s="115" t="n"/>
      <c r="B95" s="95" t="n"/>
      <c r="C95" s="95" t="n"/>
      <c r="D95" s="95" t="n"/>
      <c r="E95" s="94" t="n"/>
      <c r="F95" s="95" t="n"/>
      <c r="G95" s="95" t="n"/>
      <c r="H95" s="95" t="n"/>
      <c r="I95" s="95" t="n"/>
      <c r="J95" s="95" t="n"/>
      <c r="K95" s="95" t="n"/>
      <c r="L95" s="95" t="n"/>
      <c r="M95" s="95" t="n"/>
      <c r="N95" s="95" t="n"/>
      <c r="O95" s="95" t="n"/>
      <c r="P95" s="95" t="n"/>
      <c r="Q95" s="94" t="n"/>
    </row>
    <row r="96" ht="15" customHeight="1" s="74">
      <c r="A96" s="115" t="n"/>
      <c r="B96" s="95" t="n"/>
      <c r="C96" s="95" t="n"/>
      <c r="D96" s="95" t="n"/>
      <c r="E96" s="94" t="n"/>
      <c r="F96" s="95" t="n"/>
      <c r="G96" s="95" t="n"/>
      <c r="H96" s="95" t="n"/>
      <c r="I96" s="95" t="n"/>
      <c r="J96" s="95" t="n"/>
      <c r="K96" s="95" t="n"/>
      <c r="L96" s="95" t="n"/>
      <c r="M96" s="95" t="n"/>
      <c r="N96" s="95" t="n"/>
      <c r="O96" s="95" t="n"/>
      <c r="P96" s="95" t="n"/>
      <c r="Q96" s="94" t="n"/>
    </row>
    <row r="97" ht="15" customHeight="1" s="74">
      <c r="A97" s="115" t="n"/>
      <c r="B97" s="95" t="n"/>
      <c r="C97" s="95" t="n"/>
      <c r="D97" s="95" t="n"/>
      <c r="E97" s="94" t="n"/>
      <c r="F97" s="95" t="n"/>
      <c r="G97" s="95" t="n"/>
      <c r="H97" s="95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4" t="n"/>
    </row>
    <row r="98" ht="15" customHeight="1" s="74">
      <c r="A98" s="115" t="n"/>
      <c r="B98" s="95" t="n"/>
      <c r="C98" s="95" t="n"/>
      <c r="D98" s="95" t="n"/>
      <c r="E98" s="94" t="n"/>
      <c r="F98" s="95" t="n"/>
      <c r="G98" s="95" t="n"/>
      <c r="H98" s="95" t="n"/>
      <c r="I98" s="95" t="n"/>
      <c r="J98" s="95" t="n"/>
      <c r="K98" s="95" t="n"/>
      <c r="L98" s="95" t="n"/>
      <c r="M98" s="95" t="n"/>
      <c r="N98" s="95" t="n"/>
      <c r="O98" s="95" t="n"/>
      <c r="P98" s="95" t="n"/>
      <c r="Q98" s="94" t="n"/>
    </row>
    <row r="99" ht="15" customHeight="1" s="74">
      <c r="A99" s="115" t="n"/>
      <c r="B99" s="95" t="n"/>
      <c r="C99" s="95" t="n"/>
      <c r="D99" s="95" t="n"/>
      <c r="E99" s="94" t="n"/>
      <c r="F99" s="95" t="n"/>
      <c r="G99" s="95" t="n"/>
      <c r="H99" s="95" t="n"/>
      <c r="I99" s="95" t="n"/>
      <c r="J99" s="95" t="n"/>
      <c r="K99" s="95" t="n"/>
      <c r="L99" s="95" t="n"/>
      <c r="M99" s="95" t="n"/>
      <c r="N99" s="95" t="n"/>
      <c r="O99" s="95" t="n"/>
      <c r="P99" s="95" t="n"/>
      <c r="Q99" s="94" t="n"/>
    </row>
    <row r="100" ht="15" customHeight="1" s="74">
      <c r="A100" s="115" t="n"/>
      <c r="B100" s="95" t="n"/>
      <c r="C100" s="95" t="n"/>
      <c r="D100" s="95" t="n"/>
      <c r="E100" s="94" t="n"/>
      <c r="F100" s="95" t="n"/>
      <c r="G100" s="95" t="n"/>
      <c r="H100" s="95" t="n"/>
      <c r="I100" s="95" t="n"/>
      <c r="J100" s="95" t="n"/>
      <c r="K100" s="95" t="n"/>
      <c r="L100" s="95" t="n"/>
      <c r="M100" s="95" t="n"/>
      <c r="N100" s="95" t="n"/>
      <c r="O100" s="95" t="n"/>
      <c r="P100" s="95" t="n"/>
      <c r="Q100" s="94" t="n"/>
    </row>
    <row r="101" ht="15" customHeight="1" s="74">
      <c r="A101" s="115" t="n"/>
      <c r="B101" s="95" t="n"/>
      <c r="C101" s="95" t="n"/>
      <c r="D101" s="95" t="n"/>
      <c r="E101" s="94" t="n"/>
      <c r="F101" s="95" t="n"/>
      <c r="G101" s="95" t="n"/>
      <c r="H101" s="95" t="n"/>
      <c r="I101" s="95" t="n"/>
      <c r="J101" s="95" t="n"/>
      <c r="K101" s="95" t="n"/>
      <c r="L101" s="95" t="n"/>
      <c r="M101" s="95" t="n"/>
      <c r="N101" s="95" t="n"/>
      <c r="O101" s="95" t="n"/>
      <c r="P101" s="95" t="n"/>
      <c r="Q101" s="94" t="n"/>
    </row>
    <row r="102" ht="15" customHeight="1" s="74">
      <c r="A102" s="115" t="n"/>
      <c r="B102" s="95" t="n"/>
      <c r="C102" s="95" t="n"/>
      <c r="D102" s="95" t="n"/>
      <c r="E102" s="94" t="n"/>
      <c r="F102" s="95" t="n"/>
      <c r="G102" s="95" t="n"/>
      <c r="H102" s="95" t="n"/>
      <c r="I102" s="95" t="n"/>
      <c r="J102" s="95" t="n"/>
      <c r="K102" s="95" t="n"/>
      <c r="L102" s="95" t="n"/>
      <c r="M102" s="95" t="n"/>
      <c r="N102" s="95" t="n"/>
      <c r="O102" s="95" t="n"/>
      <c r="P102" s="95" t="n"/>
      <c r="Q102" s="94" t="n"/>
    </row>
    <row r="103" ht="15" customHeight="1" s="74">
      <c r="A103" s="115" t="n"/>
      <c r="B103" s="95" t="n"/>
      <c r="C103" s="95" t="n"/>
      <c r="D103" s="95" t="n"/>
      <c r="E103" s="94" t="n"/>
      <c r="F103" s="95" t="n"/>
      <c r="G103" s="95" t="n"/>
      <c r="H103" s="95" t="n"/>
      <c r="I103" s="95" t="n"/>
      <c r="J103" s="95" t="n"/>
      <c r="K103" s="95" t="n"/>
      <c r="L103" s="95" t="n"/>
      <c r="M103" s="95" t="n"/>
      <c r="N103" s="95" t="n"/>
      <c r="O103" s="95" t="n"/>
      <c r="P103" s="95" t="n"/>
      <c r="Q103" s="94" t="n"/>
    </row>
    <row r="104" ht="15" customHeight="1" s="74">
      <c r="A104" s="115" t="n"/>
      <c r="B104" s="95" t="n"/>
      <c r="C104" s="95" t="n"/>
      <c r="D104" s="95" t="n"/>
      <c r="E104" s="94" t="n"/>
      <c r="F104" s="95" t="n"/>
      <c r="G104" s="95" t="n"/>
      <c r="H104" s="95" t="n"/>
      <c r="I104" s="95" t="n"/>
      <c r="J104" s="95" t="n"/>
      <c r="K104" s="95" t="n"/>
      <c r="L104" s="95" t="n"/>
      <c r="M104" s="95" t="n"/>
      <c r="N104" s="95" t="n"/>
      <c r="O104" s="95" t="n"/>
      <c r="P104" s="95" t="n"/>
      <c r="Q104" s="94" t="n"/>
    </row>
    <row r="105" ht="15" customHeight="1" s="74">
      <c r="A105" s="115" t="n"/>
      <c r="B105" s="95" t="n"/>
      <c r="C105" s="95" t="n"/>
      <c r="D105" s="95" t="n"/>
      <c r="E105" s="94" t="n"/>
      <c r="F105" s="95" t="n"/>
      <c r="G105" s="95" t="n"/>
      <c r="H105" s="95" t="n"/>
      <c r="I105" s="95" t="n"/>
      <c r="J105" s="95" t="n"/>
      <c r="K105" s="95" t="n"/>
      <c r="L105" s="95" t="n"/>
      <c r="M105" s="95" t="n"/>
      <c r="N105" s="95" t="n"/>
      <c r="O105" s="95" t="n"/>
      <c r="P105" s="95" t="n"/>
      <c r="Q105" s="94" t="n"/>
    </row>
    <row r="106" ht="15" customHeight="1" s="74">
      <c r="A106" s="115" t="n"/>
      <c r="B106" s="95" t="n"/>
      <c r="C106" s="95" t="n"/>
      <c r="D106" s="95" t="n"/>
      <c r="E106" s="94" t="n"/>
      <c r="F106" s="95" t="n"/>
      <c r="G106" s="95" t="n"/>
      <c r="H106" s="95" t="n"/>
      <c r="I106" s="95" t="n"/>
      <c r="J106" s="95" t="n"/>
      <c r="K106" s="95" t="n"/>
      <c r="L106" s="95" t="n"/>
      <c r="M106" s="95" t="n"/>
      <c r="N106" s="95" t="n"/>
      <c r="O106" s="95" t="n"/>
      <c r="P106" s="95" t="n"/>
      <c r="Q106" s="94" t="n"/>
    </row>
    <row r="107" ht="15" customHeight="1" s="74">
      <c r="A107" s="115" t="n"/>
      <c r="B107" s="95" t="n"/>
      <c r="C107" s="95" t="n"/>
      <c r="D107" s="95" t="n"/>
      <c r="E107" s="94" t="n"/>
      <c r="F107" s="95" t="n"/>
      <c r="G107" s="95" t="n"/>
      <c r="H107" s="95" t="n"/>
      <c r="I107" s="95" t="n"/>
      <c r="J107" s="95" t="n"/>
      <c r="K107" s="95" t="n"/>
      <c r="L107" s="95" t="n"/>
      <c r="M107" s="95" t="n"/>
      <c r="N107" s="95" t="n"/>
      <c r="O107" s="95" t="n"/>
      <c r="P107" s="95" t="n"/>
      <c r="Q107" s="94" t="n"/>
    </row>
    <row r="108" ht="15" customHeight="1" s="74">
      <c r="A108" s="115" t="n"/>
      <c r="B108" s="95" t="n"/>
      <c r="C108" s="95" t="n"/>
      <c r="D108" s="95" t="n"/>
      <c r="E108" s="94" t="n"/>
      <c r="F108" s="95" t="n"/>
      <c r="G108" s="95" t="n"/>
      <c r="H108" s="95" t="n"/>
      <c r="I108" s="95" t="n"/>
      <c r="J108" s="95" t="n"/>
      <c r="K108" s="95" t="n"/>
      <c r="L108" s="95" t="n"/>
      <c r="M108" s="95" t="n"/>
      <c r="N108" s="95" t="n"/>
      <c r="O108" s="95" t="n"/>
      <c r="P108" s="95" t="n"/>
      <c r="Q108" s="94" t="n"/>
    </row>
    <row r="109" ht="15" customHeight="1" s="74">
      <c r="A109" s="115" t="n"/>
      <c r="B109" s="95" t="n"/>
      <c r="C109" s="95" t="n"/>
      <c r="D109" s="95" t="n"/>
      <c r="E109" s="94" t="n"/>
      <c r="F109" s="95" t="n"/>
      <c r="G109" s="95" t="n"/>
      <c r="H109" s="95" t="n"/>
      <c r="I109" s="95" t="n"/>
      <c r="J109" s="95" t="n"/>
      <c r="K109" s="95" t="n"/>
      <c r="L109" s="95" t="n"/>
      <c r="M109" s="95" t="n"/>
      <c r="N109" s="95" t="n"/>
      <c r="O109" s="95" t="n"/>
      <c r="P109" s="95" t="n"/>
      <c r="Q109" s="94" t="n"/>
    </row>
    <row r="110" ht="15" customHeight="1" s="74">
      <c r="A110" s="115" t="n"/>
      <c r="B110" s="95" t="n"/>
      <c r="C110" s="95" t="n"/>
      <c r="D110" s="95" t="n"/>
      <c r="E110" s="94" t="n"/>
      <c r="F110" s="95" t="n"/>
      <c r="G110" s="95" t="n"/>
      <c r="H110" s="95" t="n"/>
      <c r="I110" s="95" t="n"/>
      <c r="J110" s="95" t="n"/>
      <c r="K110" s="95" t="n"/>
      <c r="L110" s="95" t="n"/>
      <c r="M110" s="95" t="n"/>
      <c r="N110" s="95" t="n"/>
      <c r="O110" s="95" t="n"/>
      <c r="P110" s="95" t="n"/>
      <c r="Q110" s="94" t="n"/>
    </row>
    <row r="111" ht="15" customHeight="1" s="74">
      <c r="A111" s="115" t="n"/>
      <c r="B111" s="95" t="n"/>
      <c r="C111" s="95" t="n"/>
      <c r="D111" s="95" t="n"/>
      <c r="E111" s="94" t="n"/>
      <c r="F111" s="95" t="n"/>
      <c r="G111" s="95" t="n"/>
      <c r="H111" s="95" t="n"/>
      <c r="I111" s="95" t="n"/>
      <c r="J111" s="95" t="n"/>
      <c r="K111" s="95" t="n"/>
      <c r="L111" s="95" t="n"/>
      <c r="M111" s="95" t="n"/>
      <c r="N111" s="95" t="n"/>
      <c r="O111" s="95" t="n"/>
      <c r="P111" s="95" t="n"/>
      <c r="Q111" s="94" t="n"/>
    </row>
    <row r="112" ht="15" customHeight="1" s="74">
      <c r="A112" s="115" t="n"/>
      <c r="B112" s="95" t="n"/>
      <c r="C112" s="95" t="n"/>
      <c r="D112" s="95" t="n"/>
      <c r="E112" s="94" t="n"/>
      <c r="F112" s="95" t="n"/>
      <c r="G112" s="95" t="n"/>
      <c r="H112" s="95" t="n"/>
      <c r="I112" s="95" t="n"/>
      <c r="J112" s="95" t="n"/>
      <c r="K112" s="95" t="n"/>
      <c r="L112" s="95" t="n"/>
      <c r="M112" s="95" t="n"/>
      <c r="N112" s="95" t="n"/>
      <c r="O112" s="95" t="n"/>
      <c r="P112" s="95" t="n"/>
      <c r="Q112" s="94" t="n"/>
    </row>
    <row r="113" ht="15" customHeight="1" s="74">
      <c r="A113" s="115" t="n"/>
      <c r="B113" s="95" t="n"/>
      <c r="C113" s="95" t="n"/>
      <c r="D113" s="95" t="n"/>
      <c r="E113" s="94" t="n"/>
      <c r="F113" s="95" t="n"/>
      <c r="G113" s="95" t="n"/>
      <c r="H113" s="95" t="n"/>
      <c r="I113" s="95" t="n"/>
      <c r="J113" s="95" t="n"/>
      <c r="K113" s="95" t="n"/>
      <c r="L113" s="95" t="n"/>
      <c r="M113" s="95" t="n"/>
      <c r="N113" s="95" t="n"/>
      <c r="O113" s="95" t="n"/>
      <c r="P113" s="95" t="n"/>
      <c r="Q113" s="94" t="n"/>
    </row>
    <row r="114" ht="15" customHeight="1" s="74">
      <c r="A114" s="115" t="n"/>
      <c r="B114" s="95" t="n"/>
      <c r="C114" s="95" t="n"/>
      <c r="D114" s="95" t="n"/>
      <c r="E114" s="94" t="n"/>
      <c r="F114" s="95" t="n"/>
      <c r="G114" s="95" t="n"/>
      <c r="H114" s="95" t="n"/>
      <c r="I114" s="95" t="n"/>
      <c r="J114" s="95" t="n"/>
      <c r="K114" s="95" t="n"/>
      <c r="L114" s="95" t="n"/>
      <c r="M114" s="95" t="n"/>
      <c r="N114" s="95" t="n"/>
      <c r="O114" s="95" t="n"/>
      <c r="P114" s="95" t="n"/>
      <c r="Q114" s="94" t="n"/>
    </row>
    <row r="115" ht="15" customHeight="1" s="74">
      <c r="A115" s="115" t="n"/>
      <c r="B115" s="95" t="n"/>
      <c r="C115" s="95" t="n"/>
      <c r="D115" s="95" t="n"/>
      <c r="E115" s="94" t="n"/>
      <c r="F115" s="95" t="n"/>
      <c r="G115" s="95" t="n"/>
      <c r="H115" s="95" t="n"/>
      <c r="I115" s="95" t="n"/>
      <c r="J115" s="95" t="n"/>
      <c r="K115" s="95" t="n"/>
      <c r="L115" s="95" t="n"/>
      <c r="M115" s="95" t="n"/>
      <c r="N115" s="95" t="n"/>
      <c r="O115" s="95" t="n"/>
      <c r="P115" s="95" t="n"/>
      <c r="Q115" s="94" t="n"/>
    </row>
    <row r="116" ht="15" customHeight="1" s="74">
      <c r="A116" s="115" t="n"/>
      <c r="B116" s="95" t="n"/>
      <c r="C116" s="95" t="n"/>
      <c r="D116" s="95" t="n"/>
      <c r="E116" s="94" t="n"/>
      <c r="F116" s="95" t="n"/>
      <c r="G116" s="95" t="n"/>
      <c r="H116" s="95" t="n"/>
      <c r="I116" s="95" t="n"/>
      <c r="J116" s="95" t="n"/>
      <c r="K116" s="95" t="n"/>
      <c r="L116" s="95" t="n"/>
      <c r="M116" s="95" t="n"/>
      <c r="N116" s="95" t="n"/>
      <c r="O116" s="95" t="n"/>
      <c r="P116" s="95" t="n"/>
      <c r="Q116" s="94" t="n"/>
    </row>
    <row r="117" ht="15" customHeight="1" s="74">
      <c r="A117" s="115" t="n"/>
      <c r="B117" s="95" t="n"/>
      <c r="C117" s="95" t="n"/>
      <c r="D117" s="95" t="n"/>
      <c r="E117" s="94" t="n"/>
      <c r="F117" s="95" t="n"/>
      <c r="G117" s="95" t="n"/>
      <c r="H117" s="95" t="n"/>
      <c r="I117" s="95" t="n"/>
      <c r="J117" s="95" t="n"/>
      <c r="K117" s="95" t="n"/>
      <c r="L117" s="95" t="n"/>
      <c r="M117" s="95" t="n"/>
      <c r="N117" s="95" t="n"/>
      <c r="O117" s="95" t="n"/>
      <c r="P117" s="95" t="n"/>
      <c r="Q117" s="94" t="n"/>
    </row>
    <row r="118" ht="15" customHeight="1" s="74">
      <c r="A118" s="115" t="n"/>
      <c r="B118" s="95" t="n"/>
      <c r="C118" s="95" t="n"/>
      <c r="D118" s="95" t="n"/>
      <c r="E118" s="94" t="n"/>
      <c r="F118" s="95" t="n"/>
      <c r="G118" s="95" t="n"/>
      <c r="H118" s="95" t="n"/>
      <c r="I118" s="95" t="n"/>
      <c r="J118" s="95" t="n"/>
      <c r="K118" s="95" t="n"/>
      <c r="L118" s="95" t="n"/>
      <c r="M118" s="95" t="n"/>
      <c r="N118" s="95" t="n"/>
      <c r="O118" s="95" t="n"/>
      <c r="P118" s="95" t="n"/>
      <c r="Q118" s="94" t="n"/>
    </row>
    <row r="119" ht="15" customHeight="1" s="74">
      <c r="A119" s="115" t="n"/>
      <c r="B119" s="95" t="n"/>
      <c r="C119" s="95" t="n"/>
      <c r="D119" s="95" t="n"/>
      <c r="E119" s="94" t="n"/>
      <c r="F119" s="95" t="n"/>
      <c r="G119" s="95" t="n"/>
      <c r="H119" s="95" t="n"/>
      <c r="I119" s="95" t="n"/>
      <c r="J119" s="95" t="n"/>
      <c r="K119" s="95" t="n"/>
      <c r="L119" s="95" t="n"/>
      <c r="M119" s="95" t="n"/>
      <c r="N119" s="95" t="n"/>
      <c r="O119" s="95" t="n"/>
      <c r="P119" s="95" t="n"/>
      <c r="Q119" s="94" t="n"/>
    </row>
  </sheetData>
  <dataValidations count="12">
    <dataValidation sqref="D2:D120" showDropDown="0" showInputMessage="0" showErrorMessage="0" allowBlank="1" type="list" errorStyle="stop" operator="between">
      <formula1>Listas!$A$1:$A$2</formula1>
      <formula2>0</formula2>
    </dataValidation>
    <dataValidation sqref="E2:E120" showDropDown="0" showInputMessage="0" showErrorMessage="0" allowBlank="1" type="list" errorStyle="stop" operator="between">
      <formula1>=Listas!$J$1:$J$40</formula1>
      <formula2>0</formula2>
    </dataValidation>
    <dataValidation sqref="F2:F120" showDropDown="0" showInputMessage="0" showErrorMessage="0" allowBlank="1" type="list" errorStyle="stop" operator="between">
      <formula1>Listas!$B$1:$B$6</formula1>
      <formula2>0</formula2>
    </dataValidation>
    <dataValidation sqref="G2:G120" showDropDown="0" showInputMessage="0" showErrorMessage="0" allowBlank="1" type="list" errorStyle="stop" operator="between">
      <formula1>Listas!$C$1:$C$13</formula1>
      <formula2>0</formula2>
    </dataValidation>
    <dataValidation sqref="H2:H120" showDropDown="0" showInputMessage="0" showErrorMessage="0" allowBlank="1" type="list" errorStyle="stop" operator="between">
      <formula1>Listas!$D$1:$D$3</formula1>
      <formula2>0</formula2>
    </dataValidation>
    <dataValidation sqref="I2:I120" showDropDown="0" showInputMessage="0" showErrorMessage="0" allowBlank="1" type="list" errorStyle="stop" operator="between">
      <formula1>Listas!$E$1:$E$18</formula1>
      <formula2>0</formula2>
    </dataValidation>
    <dataValidation sqref="J2:J120" showDropDown="0" showInputMessage="0" showErrorMessage="0" allowBlank="1" type="list" errorStyle="stop" operator="between">
      <formula1>Listas!$F$1:$F$5</formula1>
      <formula2>0</formula2>
    </dataValidation>
    <dataValidation sqref="K2:K120" showDropDown="0" showInputMessage="0" showErrorMessage="0" allowBlank="1" type="list" errorStyle="stop" operator="between">
      <formula1>Listas!$G$1:$G$3</formula1>
      <formula2>0</formula2>
    </dataValidation>
    <dataValidation sqref="L2:L120" showDropDown="0" showInputMessage="0" showErrorMessage="0" allowBlank="1" type="list" errorStyle="stop" operator="between">
      <formula1>Listas!$H$1:$H$4</formula1>
      <formula2>0</formula2>
    </dataValidation>
    <dataValidation sqref="M2:M120" showDropDown="0" showInputMessage="0" showErrorMessage="0" allowBlank="1" type="list" errorStyle="stop" operator="between">
      <formula1>Listas!$I$1:$I$11</formula1>
      <formula2>0</formula2>
    </dataValidation>
    <dataValidation sqref="N2:N120" showDropDown="0" showInputMessage="0" showErrorMessage="0" allowBlank="1" type="list" errorStyle="stop" operator="between">
      <formula1>Listas!$M$1:$M$3</formula1>
      <formula2>0</formula2>
    </dataValidation>
    <dataValidation sqref="O2:O120" showDropDown="0" showInputMessage="0" showErrorMessage="0" allowBlank="1" type="list" errorStyle="stop" operator="between">
      <formula1>Listas!$N$1:$N$5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8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73" min="1" max="1"/>
    <col width="24" customWidth="1" style="73" min="2" max="2"/>
    <col width="14" customWidth="1" style="73" min="3" max="4"/>
    <col width="11" customWidth="1" style="73" min="5" max="5"/>
    <col width="9" customWidth="1" style="73" min="6" max="6"/>
    <col width="13" customWidth="1" style="73" min="7" max="7"/>
    <col width="20" customWidth="1" style="73" min="8" max="8"/>
    <col width="15" customWidth="1" style="73" min="9" max="9"/>
    <col width="30" customWidth="1" style="73" min="10" max="10"/>
  </cols>
  <sheetData>
    <row r="1" ht="25.5" customHeight="1" s="74">
      <c r="A1" s="116" t="inlineStr">
        <is>
          <t>Secuencias de posesión — métricas que responden tus 4 preguntas</t>
        </is>
      </c>
    </row>
    <row r="3" ht="30" customHeight="1" s="74">
      <c r="A3" s="117" t="inlineStr">
        <is>
          <t>Qué codificar aquí</t>
        </is>
      </c>
      <c r="C3" s="118" t="inlineStr">
        <is>
          <t>Una fila por SECUENCIA de posesión (no por evento). Rápido: marca inicio, fin, pases y zona.</t>
        </is>
      </c>
    </row>
    <row r="4" ht="30" customHeight="1" s="74">
      <c r="A4" s="117" t="inlineStr">
        <is>
          <t>Inicio según tipo</t>
        </is>
      </c>
      <c r="C4" s="118" t="inlineStr">
        <is>
          <t>Tras recuperación = 1.er contacto controlado tras robar · Saque a favor = golpeo del saque de meta propio · Saque en contra = golpeo del saque rival.</t>
        </is>
      </c>
    </row>
    <row r="5" ht="30" customHeight="1" s="74">
      <c r="A5" s="117" t="inlineStr">
        <is>
          <t>Fin según tipo</t>
        </is>
      </c>
      <c r="C5" s="118" t="inlineStr">
        <is>
          <t>Posesión propia (recuperación / saque a favor): primera pérdida, remate propio o concesión de saque/falta. Saque en contra: instante en que recuperamos posesión controlada.</t>
        </is>
      </c>
    </row>
    <row r="6" ht="30" customHeight="1" s="74">
      <c r="A6" s="117" t="inlineStr">
        <is>
          <t>Duración (s)</t>
        </is>
      </c>
      <c r="C6" s="118" t="inlineStr">
        <is>
          <t>Se calcula sola: t fin − t inicio. Escribe los tiempos como mm:ss (p. ej. 12:30). Para 'saque en contra' la duración ES el tiempo que tardamos en recuperar.</t>
        </is>
      </c>
    </row>
    <row r="7" ht="30" customHeight="1" s="74">
      <c r="A7" s="117" t="inlineStr">
        <is>
          <t>Nº pases</t>
        </is>
      </c>
      <c r="C7" s="118" t="inlineStr">
        <is>
          <t>Pases propios completados dentro de la secuencia (sin contar el saque mismo). En 'saque en contra' déjalo vacío.</t>
        </is>
      </c>
    </row>
    <row r="8" ht="30" customHeight="1" s="74">
      <c r="A8" s="117" t="inlineStr">
        <is>
          <t>Zona</t>
        </is>
      </c>
      <c r="C8" s="118" t="inlineStr">
        <is>
          <t>Zona dominante (desplegable Z1–Z18) + opcional la ruta de zonas en texto (p. ej. Z4→Z7→Z10).</t>
        </is>
      </c>
    </row>
    <row r="10" ht="23.85" customHeight="1" s="74">
      <c r="A10" s="81" t="inlineStr">
        <is>
          <t>ID</t>
        </is>
      </c>
      <c r="B10" s="81" t="inlineStr">
        <is>
          <t>Tipo de secuencia</t>
        </is>
      </c>
      <c r="C10" s="81" t="inlineStr">
        <is>
          <t>t inicio (mm:ss)</t>
        </is>
      </c>
      <c r="D10" s="81" t="inlineStr">
        <is>
          <t>t fin (mm:ss)</t>
        </is>
      </c>
      <c r="E10" s="81" t="inlineStr">
        <is>
          <t>Duración (s)</t>
        </is>
      </c>
      <c r="F10" s="81" t="inlineStr">
        <is>
          <t>Nº pases</t>
        </is>
      </c>
      <c r="G10" s="81" t="inlineStr">
        <is>
          <t>Zona dominante</t>
        </is>
      </c>
      <c r="H10" s="81" t="inlineStr">
        <is>
          <t>Zonas (ruta, texto)</t>
        </is>
      </c>
      <c r="I10" s="81" t="inlineStr">
        <is>
          <t>Resultado</t>
        </is>
      </c>
      <c r="J10" s="81" t="inlineStr">
        <is>
          <t>Nota</t>
        </is>
      </c>
    </row>
    <row r="11" ht="23.85" customHeight="1" s="74">
      <c r="A11" s="119" t="n">
        <v>1</v>
      </c>
      <c r="B11" s="120" t="inlineStr">
        <is>
          <t>Tras recuperación</t>
        </is>
      </c>
      <c r="C11" s="120" t="inlineStr">
        <is>
          <t>12:30</t>
        </is>
      </c>
      <c r="D11" s="120" t="inlineStr">
        <is>
          <t>12:41</t>
        </is>
      </c>
      <c r="E11" s="120">
        <f>IFERROR((VALUE(LEFT(D11,FIND(":",D11)-1))*60+VALUE(MID(D11,FIND(":",D11)+1,9)))-(VALUE(LEFT(C11,FIND(":",C11)-1))*60+VALUE(MID(C11,FIND(":",C11)+1,9))),"")</f>
        <v/>
      </c>
      <c r="F11" s="120" t="n">
        <v>3</v>
      </c>
      <c r="G11" s="120" t="inlineStr">
        <is>
          <t>Z8</t>
        </is>
      </c>
      <c r="H11" s="121" t="inlineStr">
        <is>
          <t>Z8→Z10→Z13</t>
        </is>
      </c>
      <c r="I11" s="120" t="inlineStr">
        <is>
          <t>Pérdida</t>
        </is>
      </c>
      <c r="J11" s="121" t="inlineStr">
        <is>
          <t>EJEMPLO (formato) — reemplázame</t>
        </is>
      </c>
    </row>
    <row r="12" ht="15" customHeight="1" s="74">
      <c r="A12" s="119" t="n">
        <v>2</v>
      </c>
      <c r="B12" s="120" t="inlineStr">
        <is>
          <t>Saque de arco a favor</t>
        </is>
      </c>
      <c r="C12" s="120" t="inlineStr">
        <is>
          <t>33:05</t>
        </is>
      </c>
      <c r="D12" s="120" t="inlineStr">
        <is>
          <t>33:12</t>
        </is>
      </c>
      <c r="E12" s="120">
        <f>IFERROR((VALUE(LEFT(D12,FIND(":",D12)-1))*60+VALUE(MID(D12,FIND(":",D12)+1,9)))-(VALUE(LEFT(C12,FIND(":",C12)-1))*60+VALUE(MID(C12,FIND(":",C12)+1,9))),"")</f>
        <v/>
      </c>
      <c r="F12" s="120" t="n">
        <v>2</v>
      </c>
      <c r="G12" s="120" t="inlineStr">
        <is>
          <t>Z2</t>
        </is>
      </c>
      <c r="H12" s="121" t="inlineStr">
        <is>
          <t>Z2→Z5→(pérdida)</t>
        </is>
      </c>
      <c r="I12" s="120" t="inlineStr">
        <is>
          <t>Pérdida</t>
        </is>
      </c>
      <c r="J12" s="121" t="inlineStr">
        <is>
          <t>EJEMPLO (formato)</t>
        </is>
      </c>
    </row>
    <row r="13" ht="23.85" customHeight="1" s="74">
      <c r="A13" s="119" t="n">
        <v>3</v>
      </c>
      <c r="B13" s="120" t="inlineStr">
        <is>
          <t>Saque de arco en contra</t>
        </is>
      </c>
      <c r="C13" s="120" t="inlineStr">
        <is>
          <t>55:40</t>
        </is>
      </c>
      <c r="D13" s="120" t="inlineStr">
        <is>
          <t>55:48</t>
        </is>
      </c>
      <c r="E13" s="120">
        <f>IFERROR((VALUE(LEFT(D13,FIND(":",D13)-1))*60+VALUE(MID(D13,FIND(":",D13)+1,9)))-(VALUE(LEFT(C13,FIND(":",C13)-1))*60+VALUE(MID(C13,FIND(":",C13)+1,9))),"")</f>
        <v/>
      </c>
      <c r="F13" s="120" t="n"/>
      <c r="G13" s="120" t="n"/>
      <c r="H13" s="121" t="n"/>
      <c r="I13" s="120" t="inlineStr">
        <is>
          <t>Recuperamos</t>
        </is>
      </c>
      <c r="J13" s="121" t="inlineStr">
        <is>
          <t>EJEMPLO — mide el tiempo hasta recuperar</t>
        </is>
      </c>
    </row>
    <row r="14" ht="15" customHeight="1" s="74">
      <c r="A14" s="119" t="n">
        <v>4</v>
      </c>
      <c r="B14" s="119" t="n"/>
      <c r="C14" s="122" t="n"/>
      <c r="D14" s="122" t="n"/>
      <c r="E14" s="119">
        <f>IFERROR((VALUE(LEFT(D14,FIND(":",D14)-1))*60+VALUE(MID(D14,FIND(":",D14)+1,9)))-(VALUE(LEFT(C14,FIND(":",C14)-1))*60+VALUE(MID(C14,FIND(":",C14)+1,9))),"")</f>
        <v/>
      </c>
      <c r="F14" s="122" t="n"/>
      <c r="G14" s="119" t="n"/>
      <c r="H14" s="123" t="n"/>
      <c r="I14" s="119" t="n"/>
      <c r="J14" s="124" t="n"/>
    </row>
    <row r="15" ht="15" customHeight="1" s="74">
      <c r="A15" s="119" t="n">
        <v>5</v>
      </c>
      <c r="B15" s="119" t="n"/>
      <c r="C15" s="122" t="n"/>
      <c r="D15" s="122" t="n"/>
      <c r="E15" s="119">
        <f>IFERROR((VALUE(LEFT(D15,FIND(":",D15)-1))*60+VALUE(MID(D15,FIND(":",D15)+1,9)))-(VALUE(LEFT(C15,FIND(":",C15)-1))*60+VALUE(MID(C15,FIND(":",C15)+1,9))),"")</f>
        <v/>
      </c>
      <c r="F15" s="122" t="n"/>
      <c r="G15" s="119" t="n"/>
      <c r="H15" s="123" t="n"/>
      <c r="I15" s="119" t="n"/>
      <c r="J15" s="124" t="n"/>
    </row>
    <row r="16" ht="15" customHeight="1" s="74">
      <c r="A16" s="119" t="n">
        <v>6</v>
      </c>
      <c r="B16" s="119" t="n"/>
      <c r="C16" s="122" t="n"/>
      <c r="D16" s="122" t="n"/>
      <c r="E16" s="119">
        <f>IFERROR((VALUE(LEFT(D16,FIND(":",D16)-1))*60+VALUE(MID(D16,FIND(":",D16)+1,9)))-(VALUE(LEFT(C16,FIND(":",C16)-1))*60+VALUE(MID(C16,FIND(":",C16)+1,9))),"")</f>
        <v/>
      </c>
      <c r="F16" s="122" t="n"/>
      <c r="G16" s="119" t="n"/>
      <c r="H16" s="123" t="n"/>
      <c r="I16" s="119" t="n"/>
      <c r="J16" s="124" t="n"/>
    </row>
    <row r="17" ht="15" customHeight="1" s="74">
      <c r="A17" s="119" t="n">
        <v>7</v>
      </c>
      <c r="B17" s="119" t="n"/>
      <c r="C17" s="122" t="n"/>
      <c r="D17" s="122" t="n"/>
      <c r="E17" s="119">
        <f>IFERROR((VALUE(LEFT(D17,FIND(":",D17)-1))*60+VALUE(MID(D17,FIND(":",D17)+1,9)))-(VALUE(LEFT(C17,FIND(":",C17)-1))*60+VALUE(MID(C17,FIND(":",C17)+1,9))),"")</f>
        <v/>
      </c>
      <c r="F17" s="122" t="n"/>
      <c r="G17" s="119" t="n"/>
      <c r="H17" s="123" t="n"/>
      <c r="I17" s="119" t="n"/>
      <c r="J17" s="124" t="n"/>
    </row>
    <row r="18" ht="15" customHeight="1" s="74">
      <c r="A18" s="119" t="n">
        <v>8</v>
      </c>
      <c r="B18" s="119" t="n"/>
      <c r="C18" s="122" t="n"/>
      <c r="D18" s="122" t="n"/>
      <c r="E18" s="119">
        <f>IFERROR((VALUE(LEFT(D18,FIND(":",D18)-1))*60+VALUE(MID(D18,FIND(":",D18)+1,9)))-(VALUE(LEFT(C18,FIND(":",C18)-1))*60+VALUE(MID(C18,FIND(":",C18)+1,9))),"")</f>
        <v/>
      </c>
      <c r="F18" s="122" t="n"/>
      <c r="G18" s="119" t="n"/>
      <c r="H18" s="123" t="n"/>
      <c r="I18" s="119" t="n"/>
      <c r="J18" s="124" t="n"/>
    </row>
    <row r="19" ht="15" customHeight="1" s="74">
      <c r="A19" s="119" t="n">
        <v>9</v>
      </c>
      <c r="B19" s="119" t="n"/>
      <c r="C19" s="122" t="n"/>
      <c r="D19" s="122" t="n"/>
      <c r="E19" s="119">
        <f>IFERROR((VALUE(LEFT(D19,FIND(":",D19)-1))*60+VALUE(MID(D19,FIND(":",D19)+1,9)))-(VALUE(LEFT(C19,FIND(":",C19)-1))*60+VALUE(MID(C19,FIND(":",C19)+1,9))),"")</f>
        <v/>
      </c>
      <c r="F19" s="122" t="n"/>
      <c r="G19" s="119" t="n"/>
      <c r="H19" s="123" t="n"/>
      <c r="I19" s="119" t="n"/>
      <c r="J19" s="124" t="n"/>
    </row>
    <row r="20" ht="15" customHeight="1" s="74">
      <c r="A20" s="119" t="n">
        <v>10</v>
      </c>
      <c r="B20" s="119" t="n"/>
      <c r="C20" s="122" t="n"/>
      <c r="D20" s="122" t="n"/>
      <c r="E20" s="119">
        <f>IFERROR((VALUE(LEFT(D20,FIND(":",D20)-1))*60+VALUE(MID(D20,FIND(":",D20)+1,9)))-(VALUE(LEFT(C20,FIND(":",C20)-1))*60+VALUE(MID(C20,FIND(":",C20)+1,9))),"")</f>
        <v/>
      </c>
      <c r="F20" s="122" t="n"/>
      <c r="G20" s="119" t="n"/>
      <c r="H20" s="123" t="n"/>
      <c r="I20" s="119" t="n"/>
      <c r="J20" s="124" t="n"/>
    </row>
    <row r="21" ht="15" customHeight="1" s="74">
      <c r="A21" s="119" t="n">
        <v>11</v>
      </c>
      <c r="B21" s="119" t="n"/>
      <c r="C21" s="122" t="n"/>
      <c r="D21" s="122" t="n"/>
      <c r="E21" s="119">
        <f>IFERROR((VALUE(LEFT(D21,FIND(":",D21)-1))*60+VALUE(MID(D21,FIND(":",D21)+1,9)))-(VALUE(LEFT(C21,FIND(":",C21)-1))*60+VALUE(MID(C21,FIND(":",C21)+1,9))),"")</f>
        <v/>
      </c>
      <c r="F21" s="122" t="n"/>
      <c r="G21" s="119" t="n"/>
      <c r="H21" s="123" t="n"/>
      <c r="I21" s="119" t="n"/>
      <c r="J21" s="124" t="n"/>
    </row>
    <row r="22" ht="15" customHeight="1" s="74">
      <c r="A22" s="119" t="n">
        <v>12</v>
      </c>
      <c r="B22" s="119" t="n"/>
      <c r="C22" s="122" t="n"/>
      <c r="D22" s="122" t="n"/>
      <c r="E22" s="119">
        <f>IFERROR((VALUE(LEFT(D22,FIND(":",D22)-1))*60+VALUE(MID(D22,FIND(":",D22)+1,9)))-(VALUE(LEFT(C22,FIND(":",C22)-1))*60+VALUE(MID(C22,FIND(":",C22)+1,9))),"")</f>
        <v/>
      </c>
      <c r="F22" s="122" t="n"/>
      <c r="G22" s="119" t="n"/>
      <c r="H22" s="123" t="n"/>
      <c r="I22" s="119" t="n"/>
      <c r="J22" s="124" t="n"/>
    </row>
    <row r="23" ht="15" customHeight="1" s="74">
      <c r="A23" s="119" t="n">
        <v>13</v>
      </c>
      <c r="B23" s="119" t="n"/>
      <c r="C23" s="122" t="n"/>
      <c r="D23" s="122" t="n"/>
      <c r="E23" s="119">
        <f>IFERROR((VALUE(LEFT(D23,FIND(":",D23)-1))*60+VALUE(MID(D23,FIND(":",D23)+1,9)))-(VALUE(LEFT(C23,FIND(":",C23)-1))*60+VALUE(MID(C23,FIND(":",C23)+1,9))),"")</f>
        <v/>
      </c>
      <c r="F23" s="122" t="n"/>
      <c r="G23" s="119" t="n"/>
      <c r="H23" s="123" t="n"/>
      <c r="I23" s="119" t="n"/>
      <c r="J23" s="124" t="n"/>
    </row>
    <row r="24" ht="15" customHeight="1" s="74">
      <c r="A24" s="119" t="n">
        <v>14</v>
      </c>
      <c r="B24" s="119" t="n"/>
      <c r="C24" s="122" t="n"/>
      <c r="D24" s="122" t="n"/>
      <c r="E24" s="119">
        <f>IFERROR((VALUE(LEFT(D24,FIND(":",D24)-1))*60+VALUE(MID(D24,FIND(":",D24)+1,9)))-(VALUE(LEFT(C24,FIND(":",C24)-1))*60+VALUE(MID(C24,FIND(":",C24)+1,9))),"")</f>
        <v/>
      </c>
      <c r="F24" s="122" t="n"/>
      <c r="G24" s="119" t="n"/>
      <c r="H24" s="123" t="n"/>
      <c r="I24" s="119" t="n"/>
      <c r="J24" s="124" t="n"/>
    </row>
    <row r="25" ht="15" customHeight="1" s="74">
      <c r="A25" s="119" t="n">
        <v>15</v>
      </c>
      <c r="B25" s="119" t="n"/>
      <c r="C25" s="122" t="n"/>
      <c r="D25" s="122" t="n"/>
      <c r="E25" s="119">
        <f>IFERROR((VALUE(LEFT(D25,FIND(":",D25)-1))*60+VALUE(MID(D25,FIND(":",D25)+1,9)))-(VALUE(LEFT(C25,FIND(":",C25)-1))*60+VALUE(MID(C25,FIND(":",C25)+1,9))),"")</f>
        <v/>
      </c>
      <c r="F25" s="122" t="n"/>
      <c r="G25" s="119" t="n"/>
      <c r="H25" s="123" t="n"/>
      <c r="I25" s="119" t="n"/>
      <c r="J25" s="124" t="n"/>
    </row>
    <row r="26" ht="15" customHeight="1" s="74">
      <c r="A26" s="119" t="n">
        <v>16</v>
      </c>
      <c r="B26" s="119" t="n"/>
      <c r="C26" s="122" t="n"/>
      <c r="D26" s="122" t="n"/>
      <c r="E26" s="119">
        <f>IFERROR((VALUE(LEFT(D26,FIND(":",D26)-1))*60+VALUE(MID(D26,FIND(":",D26)+1,9)))-(VALUE(LEFT(C26,FIND(":",C26)-1))*60+VALUE(MID(C26,FIND(":",C26)+1,9))),"")</f>
        <v/>
      </c>
      <c r="F26" s="122" t="n"/>
      <c r="G26" s="119" t="n"/>
      <c r="H26" s="123" t="n"/>
      <c r="I26" s="119" t="n"/>
      <c r="J26" s="124" t="n"/>
    </row>
    <row r="27" ht="15" customHeight="1" s="74">
      <c r="A27" s="119" t="n">
        <v>17</v>
      </c>
      <c r="B27" s="119" t="n"/>
      <c r="C27" s="122" t="n"/>
      <c r="D27" s="122" t="n"/>
      <c r="E27" s="119">
        <f>IFERROR((VALUE(LEFT(D27,FIND(":",D27)-1))*60+VALUE(MID(D27,FIND(":",D27)+1,9)))-(VALUE(LEFT(C27,FIND(":",C27)-1))*60+VALUE(MID(C27,FIND(":",C27)+1,9))),"")</f>
        <v/>
      </c>
      <c r="F27" s="122" t="n"/>
      <c r="G27" s="119" t="n"/>
      <c r="H27" s="123" t="n"/>
      <c r="I27" s="119" t="n"/>
      <c r="J27" s="124" t="n"/>
    </row>
    <row r="28" ht="15" customHeight="1" s="74">
      <c r="A28" s="119" t="n">
        <v>18</v>
      </c>
      <c r="B28" s="119" t="n"/>
      <c r="C28" s="122" t="n"/>
      <c r="D28" s="122" t="n"/>
      <c r="E28" s="119">
        <f>IFERROR((VALUE(LEFT(D28,FIND(":",D28)-1))*60+VALUE(MID(D28,FIND(":",D28)+1,9)))-(VALUE(LEFT(C28,FIND(":",C28)-1))*60+VALUE(MID(C28,FIND(":",C28)+1,9))),"")</f>
        <v/>
      </c>
      <c r="F28" s="122" t="n"/>
      <c r="G28" s="119" t="n"/>
      <c r="H28" s="123" t="n"/>
      <c r="I28" s="119" t="n"/>
      <c r="J28" s="124" t="n"/>
    </row>
    <row r="29" ht="15" customHeight="1" s="74">
      <c r="A29" s="119" t="n">
        <v>19</v>
      </c>
      <c r="B29" s="119" t="n"/>
      <c r="C29" s="122" t="n"/>
      <c r="D29" s="122" t="n"/>
      <c r="E29" s="119">
        <f>IFERROR((VALUE(LEFT(D29,FIND(":",D29)-1))*60+VALUE(MID(D29,FIND(":",D29)+1,9)))-(VALUE(LEFT(C29,FIND(":",C29)-1))*60+VALUE(MID(C29,FIND(":",C29)+1,9))),"")</f>
        <v/>
      </c>
      <c r="F29" s="122" t="n"/>
      <c r="G29" s="119" t="n"/>
      <c r="H29" s="123" t="n"/>
      <c r="I29" s="119" t="n"/>
      <c r="J29" s="124" t="n"/>
    </row>
    <row r="30" ht="15" customHeight="1" s="74">
      <c r="A30" s="119" t="n">
        <v>20</v>
      </c>
      <c r="B30" s="119" t="n"/>
      <c r="C30" s="122" t="n"/>
      <c r="D30" s="122" t="n"/>
      <c r="E30" s="119">
        <f>IFERROR((VALUE(LEFT(D30,FIND(":",D30)-1))*60+VALUE(MID(D30,FIND(":",D30)+1,9)))-(VALUE(LEFT(C30,FIND(":",C30)-1))*60+VALUE(MID(C30,FIND(":",C30)+1,9))),"")</f>
        <v/>
      </c>
      <c r="F30" s="122" t="n"/>
      <c r="G30" s="119" t="n"/>
      <c r="H30" s="123" t="n"/>
      <c r="I30" s="119" t="n"/>
      <c r="J30" s="124" t="n"/>
    </row>
    <row r="31" ht="15" customHeight="1" s="74">
      <c r="A31" s="119" t="n">
        <v>21</v>
      </c>
      <c r="B31" s="119" t="n"/>
      <c r="C31" s="122" t="n"/>
      <c r="D31" s="122" t="n"/>
      <c r="E31" s="119">
        <f>IFERROR((VALUE(LEFT(D31,FIND(":",D31)-1))*60+VALUE(MID(D31,FIND(":",D31)+1,9)))-(VALUE(LEFT(C31,FIND(":",C31)-1))*60+VALUE(MID(C31,FIND(":",C31)+1,9))),"")</f>
        <v/>
      </c>
      <c r="F31" s="122" t="n"/>
      <c r="G31" s="119" t="n"/>
      <c r="H31" s="123" t="n"/>
      <c r="I31" s="119" t="n"/>
      <c r="J31" s="124" t="n"/>
    </row>
    <row r="32" ht="15" customHeight="1" s="74">
      <c r="A32" s="119" t="n">
        <v>22</v>
      </c>
      <c r="B32" s="119" t="n"/>
      <c r="C32" s="122" t="n"/>
      <c r="D32" s="122" t="n"/>
      <c r="E32" s="119">
        <f>IFERROR((VALUE(LEFT(D32,FIND(":",D32)-1))*60+VALUE(MID(D32,FIND(":",D32)+1,9)))-(VALUE(LEFT(C32,FIND(":",C32)-1))*60+VALUE(MID(C32,FIND(":",C32)+1,9))),"")</f>
        <v/>
      </c>
      <c r="F32" s="122" t="n"/>
      <c r="G32" s="119" t="n"/>
      <c r="H32" s="123" t="n"/>
      <c r="I32" s="119" t="n"/>
      <c r="J32" s="124" t="n"/>
    </row>
    <row r="33" ht="15" customHeight="1" s="74">
      <c r="A33" s="119" t="n">
        <v>23</v>
      </c>
      <c r="B33" s="119" t="n"/>
      <c r="C33" s="122" t="n"/>
      <c r="D33" s="122" t="n"/>
      <c r="E33" s="119">
        <f>IFERROR((VALUE(LEFT(D33,FIND(":",D33)-1))*60+VALUE(MID(D33,FIND(":",D33)+1,9)))-(VALUE(LEFT(C33,FIND(":",C33)-1))*60+VALUE(MID(C33,FIND(":",C33)+1,9))),"")</f>
        <v/>
      </c>
      <c r="F33" s="122" t="n"/>
      <c r="G33" s="119" t="n"/>
      <c r="H33" s="123" t="n"/>
      <c r="I33" s="119" t="n"/>
      <c r="J33" s="124" t="n"/>
    </row>
    <row r="34" ht="15" customHeight="1" s="74">
      <c r="A34" s="119" t="n">
        <v>24</v>
      </c>
      <c r="B34" s="119" t="n"/>
      <c r="C34" s="122" t="n"/>
      <c r="D34" s="122" t="n"/>
      <c r="E34" s="119">
        <f>IFERROR((VALUE(LEFT(D34,FIND(":",D34)-1))*60+VALUE(MID(D34,FIND(":",D34)+1,9)))-(VALUE(LEFT(C34,FIND(":",C34)-1))*60+VALUE(MID(C34,FIND(":",C34)+1,9))),"")</f>
        <v/>
      </c>
      <c r="F34" s="122" t="n"/>
      <c r="G34" s="119" t="n"/>
      <c r="H34" s="123" t="n"/>
      <c r="I34" s="119" t="n"/>
      <c r="J34" s="124" t="n"/>
    </row>
    <row r="35" ht="15" customHeight="1" s="74">
      <c r="A35" s="119" t="n">
        <v>25</v>
      </c>
      <c r="B35" s="119" t="n"/>
      <c r="C35" s="122" t="n"/>
      <c r="D35" s="122" t="n"/>
      <c r="E35" s="119">
        <f>IFERROR((VALUE(LEFT(D35,FIND(":",D35)-1))*60+VALUE(MID(D35,FIND(":",D35)+1,9)))-(VALUE(LEFT(C35,FIND(":",C35)-1))*60+VALUE(MID(C35,FIND(":",C35)+1,9))),"")</f>
        <v/>
      </c>
      <c r="F35" s="122" t="n"/>
      <c r="G35" s="119" t="n"/>
      <c r="H35" s="123" t="n"/>
      <c r="I35" s="119" t="n"/>
      <c r="J35" s="124" t="n"/>
    </row>
    <row r="36" ht="15" customHeight="1" s="74">
      <c r="A36" s="119" t="n">
        <v>26</v>
      </c>
      <c r="B36" s="119" t="n"/>
      <c r="C36" s="122" t="n"/>
      <c r="D36" s="122" t="n"/>
      <c r="E36" s="119">
        <f>IFERROR((VALUE(LEFT(D36,FIND(":",D36)-1))*60+VALUE(MID(D36,FIND(":",D36)+1,9)))-(VALUE(LEFT(C36,FIND(":",C36)-1))*60+VALUE(MID(C36,FIND(":",C36)+1,9))),"")</f>
        <v/>
      </c>
      <c r="F36" s="122" t="n"/>
      <c r="G36" s="119" t="n"/>
      <c r="H36" s="123" t="n"/>
      <c r="I36" s="119" t="n"/>
      <c r="J36" s="124" t="n"/>
    </row>
    <row r="37" ht="15" customHeight="1" s="74">
      <c r="A37" s="119" t="n">
        <v>27</v>
      </c>
      <c r="B37" s="119" t="n"/>
      <c r="C37" s="122" t="n"/>
      <c r="D37" s="122" t="n"/>
      <c r="E37" s="119">
        <f>IFERROR((VALUE(LEFT(D37,FIND(":",D37)-1))*60+VALUE(MID(D37,FIND(":",D37)+1,9)))-(VALUE(LEFT(C37,FIND(":",C37)-1))*60+VALUE(MID(C37,FIND(":",C37)+1,9))),"")</f>
        <v/>
      </c>
      <c r="F37" s="122" t="n"/>
      <c r="G37" s="119" t="n"/>
      <c r="H37" s="123" t="n"/>
      <c r="I37" s="119" t="n"/>
      <c r="J37" s="124" t="n"/>
    </row>
    <row r="38" ht="15" customHeight="1" s="74">
      <c r="A38" s="119" t="n">
        <v>28</v>
      </c>
      <c r="B38" s="119" t="n"/>
      <c r="C38" s="122" t="n"/>
      <c r="D38" s="122" t="n"/>
      <c r="E38" s="119">
        <f>IFERROR((VALUE(LEFT(D38,FIND(":",D38)-1))*60+VALUE(MID(D38,FIND(":",D38)+1,9)))-(VALUE(LEFT(C38,FIND(":",C38)-1))*60+VALUE(MID(C38,FIND(":",C38)+1,9))),"")</f>
        <v/>
      </c>
      <c r="F38" s="122" t="n"/>
      <c r="G38" s="119" t="n"/>
      <c r="H38" s="123" t="n"/>
      <c r="I38" s="119" t="n"/>
      <c r="J38" s="124" t="n"/>
    </row>
    <row r="39" ht="15" customHeight="1" s="74">
      <c r="A39" s="119" t="n">
        <v>29</v>
      </c>
      <c r="B39" s="119" t="n"/>
      <c r="C39" s="122" t="n"/>
      <c r="D39" s="122" t="n"/>
      <c r="E39" s="119">
        <f>IFERROR((VALUE(LEFT(D39,FIND(":",D39)-1))*60+VALUE(MID(D39,FIND(":",D39)+1,9)))-(VALUE(LEFT(C39,FIND(":",C39)-1))*60+VALUE(MID(C39,FIND(":",C39)+1,9))),"")</f>
        <v/>
      </c>
      <c r="F39" s="122" t="n"/>
      <c r="G39" s="119" t="n"/>
      <c r="H39" s="123" t="n"/>
      <c r="I39" s="119" t="n"/>
      <c r="J39" s="124" t="n"/>
    </row>
    <row r="40" ht="15" customHeight="1" s="74">
      <c r="A40" s="119" t="n">
        <v>30</v>
      </c>
      <c r="B40" s="119" t="n"/>
      <c r="C40" s="122" t="n"/>
      <c r="D40" s="122" t="n"/>
      <c r="E40" s="119">
        <f>IFERROR((VALUE(LEFT(D40,FIND(":",D40)-1))*60+VALUE(MID(D40,FIND(":",D40)+1,9)))-(VALUE(LEFT(C40,FIND(":",C40)-1))*60+VALUE(MID(C40,FIND(":",C40)+1,9))),"")</f>
        <v/>
      </c>
      <c r="F40" s="122" t="n"/>
      <c r="G40" s="119" t="n"/>
      <c r="H40" s="123" t="n"/>
      <c r="I40" s="119" t="n"/>
      <c r="J40" s="124" t="n"/>
    </row>
    <row r="41" ht="15" customHeight="1" s="74">
      <c r="A41" s="119" t="n">
        <v>31</v>
      </c>
      <c r="B41" s="119" t="n"/>
      <c r="C41" s="122" t="n"/>
      <c r="D41" s="122" t="n"/>
      <c r="E41" s="119">
        <f>IFERROR((VALUE(LEFT(D41,FIND(":",D41)-1))*60+VALUE(MID(D41,FIND(":",D41)+1,9)))-(VALUE(LEFT(C41,FIND(":",C41)-1))*60+VALUE(MID(C41,FIND(":",C41)+1,9))),"")</f>
        <v/>
      </c>
      <c r="F41" s="122" t="n"/>
      <c r="G41" s="119" t="n"/>
      <c r="H41" s="123" t="n"/>
      <c r="I41" s="119" t="n"/>
      <c r="J41" s="124" t="n"/>
    </row>
    <row r="42" ht="15" customHeight="1" s="74">
      <c r="A42" s="119" t="n">
        <v>32</v>
      </c>
      <c r="B42" s="119" t="n"/>
      <c r="C42" s="122" t="n"/>
      <c r="D42" s="122" t="n"/>
      <c r="E42" s="119">
        <f>IFERROR((VALUE(LEFT(D42,FIND(":",D42)-1))*60+VALUE(MID(D42,FIND(":",D42)+1,9)))-(VALUE(LEFT(C42,FIND(":",C42)-1))*60+VALUE(MID(C42,FIND(":",C42)+1,9))),"")</f>
        <v/>
      </c>
      <c r="F42" s="122" t="n"/>
      <c r="G42" s="119" t="n"/>
      <c r="H42" s="123" t="n"/>
      <c r="I42" s="119" t="n"/>
      <c r="J42" s="124" t="n"/>
    </row>
    <row r="43" ht="15" customHeight="1" s="74">
      <c r="A43" s="119" t="n">
        <v>33</v>
      </c>
      <c r="B43" s="119" t="n"/>
      <c r="C43" s="122" t="n"/>
      <c r="D43" s="122" t="n"/>
      <c r="E43" s="119">
        <f>IFERROR((VALUE(LEFT(D43,FIND(":",D43)-1))*60+VALUE(MID(D43,FIND(":",D43)+1,9)))-(VALUE(LEFT(C43,FIND(":",C43)-1))*60+VALUE(MID(C43,FIND(":",C43)+1,9))),"")</f>
        <v/>
      </c>
      <c r="F43" s="122" t="n"/>
      <c r="G43" s="119" t="n"/>
      <c r="H43" s="123" t="n"/>
      <c r="I43" s="119" t="n"/>
      <c r="J43" s="124" t="n"/>
    </row>
    <row r="44" ht="15" customHeight="1" s="74">
      <c r="A44" s="119" t="n">
        <v>34</v>
      </c>
      <c r="B44" s="119" t="n"/>
      <c r="C44" s="122" t="n"/>
      <c r="D44" s="122" t="n"/>
      <c r="E44" s="119">
        <f>IFERROR((VALUE(LEFT(D44,FIND(":",D44)-1))*60+VALUE(MID(D44,FIND(":",D44)+1,9)))-(VALUE(LEFT(C44,FIND(":",C44)-1))*60+VALUE(MID(C44,FIND(":",C44)+1,9))),"")</f>
        <v/>
      </c>
      <c r="F44" s="122" t="n"/>
      <c r="G44" s="119" t="n"/>
      <c r="H44" s="123" t="n"/>
      <c r="I44" s="119" t="n"/>
      <c r="J44" s="124" t="n"/>
    </row>
    <row r="45" ht="15" customHeight="1" s="74">
      <c r="A45" s="119" t="n">
        <v>35</v>
      </c>
      <c r="B45" s="119" t="n"/>
      <c r="C45" s="122" t="n"/>
      <c r="D45" s="122" t="n"/>
      <c r="E45" s="119">
        <f>IFERROR((VALUE(LEFT(D45,FIND(":",D45)-1))*60+VALUE(MID(D45,FIND(":",D45)+1,9)))-(VALUE(LEFT(C45,FIND(":",C45)-1))*60+VALUE(MID(C45,FIND(":",C45)+1,9))),"")</f>
        <v/>
      </c>
      <c r="F45" s="122" t="n"/>
      <c r="G45" s="119" t="n"/>
      <c r="H45" s="123" t="n"/>
      <c r="I45" s="119" t="n"/>
      <c r="J45" s="124" t="n"/>
    </row>
    <row r="46" ht="15" customHeight="1" s="74">
      <c r="A46" s="119" t="n">
        <v>36</v>
      </c>
      <c r="B46" s="119" t="n"/>
      <c r="C46" s="122" t="n"/>
      <c r="D46" s="122" t="n"/>
      <c r="E46" s="119">
        <f>IFERROR((VALUE(LEFT(D46,FIND(":",D46)-1))*60+VALUE(MID(D46,FIND(":",D46)+1,9)))-(VALUE(LEFT(C46,FIND(":",C46)-1))*60+VALUE(MID(C46,FIND(":",C46)+1,9))),"")</f>
        <v/>
      </c>
      <c r="F46" s="122" t="n"/>
      <c r="G46" s="119" t="n"/>
      <c r="H46" s="123" t="n"/>
      <c r="I46" s="119" t="n"/>
      <c r="J46" s="124" t="n"/>
    </row>
    <row r="47" ht="15" customHeight="1" s="74">
      <c r="A47" s="119" t="n">
        <v>37</v>
      </c>
      <c r="B47" s="119" t="n"/>
      <c r="C47" s="122" t="n"/>
      <c r="D47" s="122" t="n"/>
      <c r="E47" s="119">
        <f>IFERROR((VALUE(LEFT(D47,FIND(":",D47)-1))*60+VALUE(MID(D47,FIND(":",D47)+1,9)))-(VALUE(LEFT(C47,FIND(":",C47)-1))*60+VALUE(MID(C47,FIND(":",C47)+1,9))),"")</f>
        <v/>
      </c>
      <c r="F47" s="122" t="n"/>
      <c r="G47" s="119" t="n"/>
      <c r="H47" s="123" t="n"/>
      <c r="I47" s="119" t="n"/>
      <c r="J47" s="124" t="n"/>
    </row>
    <row r="48" ht="15" customHeight="1" s="74">
      <c r="A48" s="119" t="n">
        <v>38</v>
      </c>
      <c r="B48" s="119" t="n"/>
      <c r="C48" s="122" t="n"/>
      <c r="D48" s="122" t="n"/>
      <c r="E48" s="119">
        <f>IFERROR((VALUE(LEFT(D48,FIND(":",D48)-1))*60+VALUE(MID(D48,FIND(":",D48)+1,9)))-(VALUE(LEFT(C48,FIND(":",C48)-1))*60+VALUE(MID(C48,FIND(":",C48)+1,9))),"")</f>
        <v/>
      </c>
      <c r="F48" s="122" t="n"/>
      <c r="G48" s="119" t="n"/>
      <c r="H48" s="123" t="n"/>
      <c r="I48" s="119" t="n"/>
      <c r="J48" s="124" t="n"/>
    </row>
    <row r="49" ht="15" customHeight="1" s="74">
      <c r="A49" s="119" t="n">
        <v>39</v>
      </c>
      <c r="B49" s="119" t="n"/>
      <c r="C49" s="122" t="n"/>
      <c r="D49" s="122" t="n"/>
      <c r="E49" s="119">
        <f>IFERROR((VALUE(LEFT(D49,FIND(":",D49)-1))*60+VALUE(MID(D49,FIND(":",D49)+1,9)))-(VALUE(LEFT(C49,FIND(":",C49)-1))*60+VALUE(MID(C49,FIND(":",C49)+1,9))),"")</f>
        <v/>
      </c>
      <c r="F49" s="122" t="n"/>
      <c r="G49" s="119" t="n"/>
      <c r="H49" s="123" t="n"/>
      <c r="I49" s="119" t="n"/>
      <c r="J49" s="124" t="n"/>
    </row>
    <row r="50" ht="15" customHeight="1" s="74">
      <c r="A50" s="119" t="n">
        <v>40</v>
      </c>
      <c r="B50" s="119" t="n"/>
      <c r="C50" s="122" t="n"/>
      <c r="D50" s="122" t="n"/>
      <c r="E50" s="119">
        <f>IFERROR((VALUE(LEFT(D50,FIND(":",D50)-1))*60+VALUE(MID(D50,FIND(":",D50)+1,9)))-(VALUE(LEFT(C50,FIND(":",C50)-1))*60+VALUE(MID(C50,FIND(":",C50)+1,9))),"")</f>
        <v/>
      </c>
      <c r="F50" s="122" t="n"/>
      <c r="G50" s="119" t="n"/>
      <c r="H50" s="123" t="n"/>
      <c r="I50" s="119" t="n"/>
      <c r="J50" s="124" t="n"/>
    </row>
    <row r="51" ht="15" customHeight="1" s="74">
      <c r="A51" s="119" t="n">
        <v>41</v>
      </c>
      <c r="B51" s="119" t="n"/>
      <c r="C51" s="122" t="n"/>
      <c r="D51" s="122" t="n"/>
      <c r="E51" s="119">
        <f>IFERROR((VALUE(LEFT(D51,FIND(":",D51)-1))*60+VALUE(MID(D51,FIND(":",D51)+1,9)))-(VALUE(LEFT(C51,FIND(":",C51)-1))*60+VALUE(MID(C51,FIND(":",C51)+1,9))),"")</f>
        <v/>
      </c>
      <c r="F51" s="122" t="n"/>
      <c r="G51" s="119" t="n"/>
      <c r="H51" s="123" t="n"/>
      <c r="I51" s="119" t="n"/>
      <c r="J51" s="124" t="n"/>
    </row>
    <row r="52" ht="15" customHeight="1" s="74">
      <c r="A52" s="119" t="n">
        <v>42</v>
      </c>
      <c r="B52" s="119" t="n"/>
      <c r="C52" s="122" t="n"/>
      <c r="D52" s="122" t="n"/>
      <c r="E52" s="119">
        <f>IFERROR((VALUE(LEFT(D52,FIND(":",D52)-1))*60+VALUE(MID(D52,FIND(":",D52)+1,9)))-(VALUE(LEFT(C52,FIND(":",C52)-1))*60+VALUE(MID(C52,FIND(":",C52)+1,9))),"")</f>
        <v/>
      </c>
      <c r="F52" s="122" t="n"/>
      <c r="G52" s="119" t="n"/>
      <c r="H52" s="123" t="n"/>
      <c r="I52" s="119" t="n"/>
      <c r="J52" s="124" t="n"/>
    </row>
    <row r="53" ht="15" customHeight="1" s="74">
      <c r="A53" s="119" t="n">
        <v>43</v>
      </c>
      <c r="B53" s="119" t="n"/>
      <c r="C53" s="122" t="n"/>
      <c r="D53" s="122" t="n"/>
      <c r="E53" s="119">
        <f>IFERROR((VALUE(LEFT(D53,FIND(":",D53)-1))*60+VALUE(MID(D53,FIND(":",D53)+1,9)))-(VALUE(LEFT(C53,FIND(":",C53)-1))*60+VALUE(MID(C53,FIND(":",C53)+1,9))),"")</f>
        <v/>
      </c>
      <c r="F53" s="122" t="n"/>
      <c r="G53" s="119" t="n"/>
      <c r="H53" s="123" t="n"/>
      <c r="I53" s="119" t="n"/>
      <c r="J53" s="124" t="n"/>
    </row>
    <row r="54" ht="15" customHeight="1" s="74">
      <c r="A54" s="119" t="n">
        <v>44</v>
      </c>
      <c r="B54" s="119" t="n"/>
      <c r="C54" s="122" t="n"/>
      <c r="D54" s="122" t="n"/>
      <c r="E54" s="119">
        <f>IFERROR((VALUE(LEFT(D54,FIND(":",D54)-1))*60+VALUE(MID(D54,FIND(":",D54)+1,9)))-(VALUE(LEFT(C54,FIND(":",C54)-1))*60+VALUE(MID(C54,FIND(":",C54)+1,9))),"")</f>
        <v/>
      </c>
      <c r="F54" s="122" t="n"/>
      <c r="G54" s="119" t="n"/>
      <c r="H54" s="123" t="n"/>
      <c r="I54" s="119" t="n"/>
      <c r="J54" s="124" t="n"/>
    </row>
    <row r="55" ht="15" customHeight="1" s="74">
      <c r="A55" s="119" t="n">
        <v>45</v>
      </c>
      <c r="B55" s="119" t="n"/>
      <c r="C55" s="122" t="n"/>
      <c r="D55" s="122" t="n"/>
      <c r="E55" s="119">
        <f>IFERROR((VALUE(LEFT(D55,FIND(":",D55)-1))*60+VALUE(MID(D55,FIND(":",D55)+1,9)))-(VALUE(LEFT(C55,FIND(":",C55)-1))*60+VALUE(MID(C55,FIND(":",C55)+1,9))),"")</f>
        <v/>
      </c>
      <c r="F55" s="122" t="n"/>
      <c r="G55" s="119" t="n"/>
      <c r="H55" s="123" t="n"/>
      <c r="I55" s="119" t="n"/>
      <c r="J55" s="124" t="n"/>
    </row>
    <row r="56" ht="15" customHeight="1" s="74">
      <c r="A56" s="119" t="n">
        <v>46</v>
      </c>
      <c r="B56" s="119" t="n"/>
      <c r="C56" s="122" t="n"/>
      <c r="D56" s="122" t="n"/>
      <c r="E56" s="119">
        <f>IFERROR((VALUE(LEFT(D56,FIND(":",D56)-1))*60+VALUE(MID(D56,FIND(":",D56)+1,9)))-(VALUE(LEFT(C56,FIND(":",C56)-1))*60+VALUE(MID(C56,FIND(":",C56)+1,9))),"")</f>
        <v/>
      </c>
      <c r="F56" s="122" t="n"/>
      <c r="G56" s="119" t="n"/>
      <c r="H56" s="123" t="n"/>
      <c r="I56" s="119" t="n"/>
      <c r="J56" s="124" t="n"/>
    </row>
    <row r="57" ht="15" customHeight="1" s="74">
      <c r="A57" s="119" t="n">
        <v>47</v>
      </c>
      <c r="B57" s="119" t="n"/>
      <c r="C57" s="122" t="n"/>
      <c r="D57" s="122" t="n"/>
      <c r="E57" s="119">
        <f>IFERROR((VALUE(LEFT(D57,FIND(":",D57)-1))*60+VALUE(MID(D57,FIND(":",D57)+1,9)))-(VALUE(LEFT(C57,FIND(":",C57)-1))*60+VALUE(MID(C57,FIND(":",C57)+1,9))),"")</f>
        <v/>
      </c>
      <c r="F57" s="122" t="n"/>
      <c r="G57" s="119" t="n"/>
      <c r="H57" s="123" t="n"/>
      <c r="I57" s="119" t="n"/>
      <c r="J57" s="124" t="n"/>
    </row>
    <row r="58" ht="15" customHeight="1" s="74">
      <c r="A58" s="119" t="n">
        <v>48</v>
      </c>
      <c r="B58" s="119" t="n"/>
      <c r="C58" s="122" t="n"/>
      <c r="D58" s="122" t="n"/>
      <c r="E58" s="119">
        <f>IFERROR((VALUE(LEFT(D58,FIND(":",D58)-1))*60+VALUE(MID(D58,FIND(":",D58)+1,9)))-(VALUE(LEFT(C58,FIND(":",C58)-1))*60+VALUE(MID(C58,FIND(":",C58)+1,9))),"")</f>
        <v/>
      </c>
      <c r="F58" s="122" t="n"/>
      <c r="G58" s="119" t="n"/>
      <c r="H58" s="123" t="n"/>
      <c r="I58" s="119" t="n"/>
      <c r="J58" s="124" t="n"/>
    </row>
    <row r="59" ht="15" customHeight="1" s="74">
      <c r="A59" s="119" t="n">
        <v>49</v>
      </c>
      <c r="B59" s="119" t="n"/>
      <c r="C59" s="122" t="n"/>
      <c r="D59" s="122" t="n"/>
      <c r="E59" s="119">
        <f>IFERROR((VALUE(LEFT(D59,FIND(":",D59)-1))*60+VALUE(MID(D59,FIND(":",D59)+1,9)))-(VALUE(LEFT(C59,FIND(":",C59)-1))*60+VALUE(MID(C59,FIND(":",C59)+1,9))),"")</f>
        <v/>
      </c>
      <c r="F59" s="122" t="n"/>
      <c r="G59" s="119" t="n"/>
      <c r="H59" s="123" t="n"/>
      <c r="I59" s="119" t="n"/>
      <c r="J59" s="124" t="n"/>
    </row>
    <row r="60" ht="15" customHeight="1" s="74">
      <c r="A60" s="119" t="n">
        <v>50</v>
      </c>
      <c r="B60" s="119" t="n"/>
      <c r="C60" s="122" t="n"/>
      <c r="D60" s="122" t="n"/>
      <c r="E60" s="119">
        <f>IFERROR((VALUE(LEFT(D60,FIND(":",D60)-1))*60+VALUE(MID(D60,FIND(":",D60)+1,9)))-(VALUE(LEFT(C60,FIND(":",C60)-1))*60+VALUE(MID(C60,FIND(":",C60)+1,9))),"")</f>
        <v/>
      </c>
      <c r="F60" s="122" t="n"/>
      <c r="G60" s="119" t="n"/>
      <c r="H60" s="123" t="n"/>
      <c r="I60" s="119" t="n"/>
      <c r="J60" s="124" t="n"/>
    </row>
    <row r="61" ht="15" customHeight="1" s="74">
      <c r="A61" s="119" t="n">
        <v>51</v>
      </c>
      <c r="B61" s="119" t="n"/>
      <c r="C61" s="122" t="n"/>
      <c r="D61" s="122" t="n"/>
      <c r="E61" s="119">
        <f>IFERROR((VALUE(LEFT(D61,FIND(":",D61)-1))*60+VALUE(MID(D61,FIND(":",D61)+1,9)))-(VALUE(LEFT(C61,FIND(":",C61)-1))*60+VALUE(MID(C61,FIND(":",C61)+1,9))),"")</f>
        <v/>
      </c>
      <c r="F61" s="122" t="n"/>
      <c r="G61" s="119" t="n"/>
      <c r="H61" s="123" t="n"/>
      <c r="I61" s="119" t="n"/>
      <c r="J61" s="124" t="n"/>
    </row>
    <row r="62" ht="15" customHeight="1" s="74">
      <c r="A62" s="119" t="n">
        <v>52</v>
      </c>
      <c r="B62" s="119" t="n"/>
      <c r="C62" s="122" t="n"/>
      <c r="D62" s="122" t="n"/>
      <c r="E62" s="119">
        <f>IFERROR((VALUE(LEFT(D62,FIND(":",D62)-1))*60+VALUE(MID(D62,FIND(":",D62)+1,9)))-(VALUE(LEFT(C62,FIND(":",C62)-1))*60+VALUE(MID(C62,FIND(":",C62)+1,9))),"")</f>
        <v/>
      </c>
      <c r="F62" s="122" t="n"/>
      <c r="G62" s="119" t="n"/>
      <c r="H62" s="123" t="n"/>
      <c r="I62" s="119" t="n"/>
      <c r="J62" s="124" t="n"/>
    </row>
    <row r="63" ht="15" customHeight="1" s="74">
      <c r="A63" s="119" t="n">
        <v>53</v>
      </c>
      <c r="B63" s="119" t="n"/>
      <c r="C63" s="122" t="n"/>
      <c r="D63" s="122" t="n"/>
      <c r="E63" s="119">
        <f>IFERROR((VALUE(LEFT(D63,FIND(":",D63)-1))*60+VALUE(MID(D63,FIND(":",D63)+1,9)))-(VALUE(LEFT(C63,FIND(":",C63)-1))*60+VALUE(MID(C63,FIND(":",C63)+1,9))),"")</f>
        <v/>
      </c>
      <c r="F63" s="122" t="n"/>
      <c r="G63" s="119" t="n"/>
      <c r="H63" s="123" t="n"/>
      <c r="I63" s="119" t="n"/>
      <c r="J63" s="124" t="n"/>
    </row>
    <row r="64" ht="15" customHeight="1" s="74">
      <c r="A64" s="119" t="n">
        <v>54</v>
      </c>
      <c r="B64" s="119" t="n"/>
      <c r="C64" s="122" t="n"/>
      <c r="D64" s="122" t="n"/>
      <c r="E64" s="119">
        <f>IFERROR((VALUE(LEFT(D64,FIND(":",D64)-1))*60+VALUE(MID(D64,FIND(":",D64)+1,9)))-(VALUE(LEFT(C64,FIND(":",C64)-1))*60+VALUE(MID(C64,FIND(":",C64)+1,9))),"")</f>
        <v/>
      </c>
      <c r="F64" s="122" t="n"/>
      <c r="G64" s="119" t="n"/>
      <c r="H64" s="123" t="n"/>
      <c r="I64" s="119" t="n"/>
      <c r="J64" s="124" t="n"/>
    </row>
    <row r="65" ht="15" customHeight="1" s="74">
      <c r="A65" s="119" t="n">
        <v>55</v>
      </c>
      <c r="B65" s="119" t="n"/>
      <c r="C65" s="122" t="n"/>
      <c r="D65" s="122" t="n"/>
      <c r="E65" s="119">
        <f>IFERROR((VALUE(LEFT(D65,FIND(":",D65)-1))*60+VALUE(MID(D65,FIND(":",D65)+1,9)))-(VALUE(LEFT(C65,FIND(":",C65)-1))*60+VALUE(MID(C65,FIND(":",C65)+1,9))),"")</f>
        <v/>
      </c>
      <c r="F65" s="122" t="n"/>
      <c r="G65" s="119" t="n"/>
      <c r="H65" s="123" t="n"/>
      <c r="I65" s="119" t="n"/>
      <c r="J65" s="124" t="n"/>
    </row>
    <row r="66" ht="15" customHeight="1" s="74">
      <c r="A66" s="119" t="n">
        <v>56</v>
      </c>
      <c r="B66" s="119" t="n"/>
      <c r="C66" s="122" t="n"/>
      <c r="D66" s="122" t="n"/>
      <c r="E66" s="119">
        <f>IFERROR((VALUE(LEFT(D66,FIND(":",D66)-1))*60+VALUE(MID(D66,FIND(":",D66)+1,9)))-(VALUE(LEFT(C66,FIND(":",C66)-1))*60+VALUE(MID(C66,FIND(":",C66)+1,9))),"")</f>
        <v/>
      </c>
      <c r="F66" s="122" t="n"/>
      <c r="G66" s="119" t="n"/>
      <c r="H66" s="123" t="n"/>
      <c r="I66" s="119" t="n"/>
      <c r="J66" s="124" t="n"/>
    </row>
    <row r="67" ht="15" customHeight="1" s="74">
      <c r="A67" s="119" t="n">
        <v>57</v>
      </c>
      <c r="B67" s="119" t="n"/>
      <c r="C67" s="122" t="n"/>
      <c r="D67" s="122" t="n"/>
      <c r="E67" s="119">
        <f>IFERROR((VALUE(LEFT(D67,FIND(":",D67)-1))*60+VALUE(MID(D67,FIND(":",D67)+1,9)))-(VALUE(LEFT(C67,FIND(":",C67)-1))*60+VALUE(MID(C67,FIND(":",C67)+1,9))),"")</f>
        <v/>
      </c>
      <c r="F67" s="122" t="n"/>
      <c r="G67" s="119" t="n"/>
      <c r="H67" s="123" t="n"/>
      <c r="I67" s="119" t="n"/>
      <c r="J67" s="124" t="n"/>
    </row>
    <row r="68" ht="15" customHeight="1" s="74">
      <c r="A68" s="119" t="n">
        <v>58</v>
      </c>
      <c r="B68" s="119" t="n"/>
      <c r="C68" s="122" t="n"/>
      <c r="D68" s="122" t="n"/>
      <c r="E68" s="119">
        <f>IFERROR((VALUE(LEFT(D68,FIND(":",D68)-1))*60+VALUE(MID(D68,FIND(":",D68)+1,9)))-(VALUE(LEFT(C68,FIND(":",C68)-1))*60+VALUE(MID(C68,FIND(":",C68)+1,9))),"")</f>
        <v/>
      </c>
      <c r="F68" s="122" t="n"/>
      <c r="G68" s="119" t="n"/>
      <c r="H68" s="123" t="n"/>
      <c r="I68" s="119" t="n"/>
      <c r="J68" s="124" t="n"/>
    </row>
    <row r="69" ht="15" customHeight="1" s="74">
      <c r="A69" s="119" t="n">
        <v>59</v>
      </c>
      <c r="B69" s="119" t="n"/>
      <c r="C69" s="122" t="n"/>
      <c r="D69" s="122" t="n"/>
      <c r="E69" s="119">
        <f>IFERROR((VALUE(LEFT(D69,FIND(":",D69)-1))*60+VALUE(MID(D69,FIND(":",D69)+1,9)))-(VALUE(LEFT(C69,FIND(":",C69)-1))*60+VALUE(MID(C69,FIND(":",C69)+1,9))),"")</f>
        <v/>
      </c>
      <c r="F69" s="122" t="n"/>
      <c r="G69" s="119" t="n"/>
      <c r="H69" s="123" t="n"/>
      <c r="I69" s="119" t="n"/>
      <c r="J69" s="124" t="n"/>
    </row>
    <row r="70" ht="15" customHeight="1" s="74">
      <c r="A70" s="119" t="n">
        <v>60</v>
      </c>
      <c r="B70" s="119" t="n"/>
      <c r="C70" s="122" t="n"/>
      <c r="D70" s="122" t="n"/>
      <c r="E70" s="119">
        <f>IFERROR((VALUE(LEFT(D70,FIND(":",D70)-1))*60+VALUE(MID(D70,FIND(":",D70)+1,9)))-(VALUE(LEFT(C70,FIND(":",C70)-1))*60+VALUE(MID(C70,FIND(":",C70)+1,9))),"")</f>
        <v/>
      </c>
      <c r="F70" s="122" t="n"/>
      <c r="G70" s="119" t="n"/>
      <c r="H70" s="123" t="n"/>
      <c r="I70" s="119" t="n"/>
      <c r="J70" s="124" t="n"/>
    </row>
    <row r="73" ht="15" customHeight="1" s="74">
      <c r="A73" s="125" t="inlineStr">
        <is>
          <t>Resultados — se calculan solos desde la tabla de arriba</t>
        </is>
      </c>
    </row>
    <row r="74" ht="23.85" customHeight="1" s="74">
      <c r="A74" s="126" t="inlineStr">
        <is>
          <t>Métrica</t>
        </is>
      </c>
      <c r="B74" s="127" t="inlineStr">
        <is>
          <t>Tras recuperación</t>
        </is>
      </c>
      <c r="C74" s="127" t="inlineStr">
        <is>
          <t>Saque de arco a favor</t>
        </is>
      </c>
      <c r="D74" s="127" t="inlineStr">
        <is>
          <t>Saque de arco en contra</t>
        </is>
      </c>
    </row>
    <row r="75" ht="15" customHeight="1" s="74">
      <c r="A75" s="128" t="inlineStr">
        <is>
          <t>Nº de secuencias</t>
        </is>
      </c>
      <c r="B75" s="129">
        <f>COUNTIF($B$11:$B$70,"Tras recuperación")</f>
        <v/>
      </c>
      <c r="C75" s="129">
        <f>COUNTIF($B$11:$B$70,"Saque de arco a favor")</f>
        <v/>
      </c>
      <c r="D75" s="129">
        <f>COUNTIF($B$11:$B$70,"Saque de arco en contra")</f>
        <v/>
      </c>
    </row>
    <row r="76" ht="15" customHeight="1" s="74">
      <c r="A76" s="128" t="inlineStr">
        <is>
          <t>Duración / tiempo medio (s)</t>
        </is>
      </c>
      <c r="B76" s="130">
        <f>IFERROR(AVERAGEIF($B$11:$B$70,"Tras recuperación",$E$11:$E$70),"—")</f>
        <v/>
      </c>
      <c r="C76" s="130">
        <f>IFERROR(AVERAGEIF($B$11:$B$70,"Saque de arco a favor",$E$11:$E$70),"—")</f>
        <v/>
      </c>
      <c r="D76" s="130">
        <f>IFERROR(AVERAGEIF($B$11:$B$70,"Saque de arco en contra",$E$11:$E$70),"—")</f>
        <v/>
      </c>
    </row>
    <row r="77" ht="15" customHeight="1" s="74">
      <c r="A77" s="128" t="inlineStr">
        <is>
          <t>Nº pases medio</t>
        </is>
      </c>
      <c r="B77" s="130">
        <f>IFERROR(AVERAGEIF($B$11:$B$70,"Tras recuperación",$F$11:$F$70),"—")</f>
        <v/>
      </c>
      <c r="C77" s="130">
        <f>IFERROR(AVERAGEIF($B$11:$B$70,"Saque de arco a favor",$F$11:$F$70),"—")</f>
        <v/>
      </c>
      <c r="D77" s="131" t="inlineStr">
        <is>
          <t>—</t>
        </is>
      </c>
    </row>
    <row r="78" ht="15" customHeight="1" s="74">
      <c r="A78" s="128" t="inlineStr">
        <is>
          <t>% termina en remate</t>
        </is>
      </c>
      <c r="B78" s="132">
        <f>IFERROR(COUNTIFS($B$11:$B$70,"Tras recuperación",$I$11:$I$70,"Remate")/COUNTIF($B$11:$B$70,"Tras recuperación"),"—")</f>
        <v/>
      </c>
      <c r="C78" s="132">
        <f>IFERROR(COUNTIFS($B$11:$B$70,"Saque de arco a favor",$I$11:$I$70,"Remate")/COUNTIF($B$11:$B$70,"Saque de arco a favor"),"—")</f>
        <v/>
      </c>
      <c r="D78" s="131" t="inlineStr">
        <is>
          <t>—</t>
        </is>
      </c>
    </row>
    <row r="80" ht="15" customHeight="1" s="74">
      <c r="A80" s="133" t="inlineStr">
        <is>
          <t>Lee así: 'Duración media tras recuperación' = cuánto conservamos el balón al robar · 'Duración media saque a favor' = cuánto aguantamos antes de perder desde el saque de meta · 'Saque en contra' = cuánto tardamos en recuperar. Segmenta mentalmente por marcador (no es lo mismo ganando que perdiendo). Zonas: mira la columna 'Zona dominante' para ver dónde se juegan.</t>
        </is>
      </c>
    </row>
    <row r="81" ht="15" customHeight="1" s="74"/>
    <row r="82" ht="15" customHeight="1" s="74"/>
  </sheetData>
  <mergeCells count="15">
    <mergeCell ref="A4:B4"/>
    <mergeCell ref="C4:J4"/>
    <mergeCell ref="A1:J1"/>
    <mergeCell ref="A80:J82"/>
    <mergeCell ref="C3:J3"/>
    <mergeCell ref="A7:B7"/>
    <mergeCell ref="C7:J7"/>
    <mergeCell ref="A73:E73"/>
    <mergeCell ref="C6:J6"/>
    <mergeCell ref="A5:B5"/>
    <mergeCell ref="C5:J5"/>
    <mergeCell ref="A8:B8"/>
    <mergeCell ref="A3:B3"/>
    <mergeCell ref="A6:B6"/>
    <mergeCell ref="C8:J8"/>
  </mergeCells>
  <dataValidations count="3">
    <dataValidation sqref="B11:B70" showDropDown="0" showInputMessage="0" showErrorMessage="0" allowBlank="1" type="list" errorStyle="stop" operator="between">
      <formula1>Listas!$P$1:$P$3</formula1>
      <formula2>0</formula2>
    </dataValidation>
    <dataValidation sqref="G11:G70" showDropDown="0" showInputMessage="0" showErrorMessage="0" allowBlank="1" type="list" errorStyle="stop" operator="between">
      <formula1>Listas!$E$1:$E$18</formula1>
      <formula2>0</formula2>
    </dataValidation>
    <dataValidation sqref="I11:I70" showDropDown="0" showInputMessage="0" showErrorMessage="0" allowBlank="1" type="list" errorStyle="stop" operator="between">
      <formula1>Listas!$Q$1:$Q$6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3" min="1" max="1"/>
    <col width="14" customWidth="1" style="73" min="2" max="5"/>
  </cols>
  <sheetData>
    <row r="1" ht="24" customHeight="1" s="74">
      <c r="A1" s="104" t="inlineStr">
        <is>
          <t>Resumen (se calcula solo desde 'Registro')</t>
        </is>
      </c>
    </row>
    <row r="3" ht="15" customHeight="1" s="74">
      <c r="A3" s="134" t="inlineStr">
        <is>
          <t>Total de eventos codificados</t>
        </is>
      </c>
      <c r="B3" s="76">
        <f>COUNTA(Registro!$G$2:$G$120)</f>
        <v/>
      </c>
    </row>
    <row r="5" ht="15" customHeight="1" s="74">
      <c r="A5" s="76" t="inlineStr">
        <is>
          <t>Eventos por etiqueta</t>
        </is>
      </c>
    </row>
    <row r="6" ht="15" customHeight="1" s="74">
      <c r="A6" s="135" t="inlineStr">
        <is>
          <t>Inicio / Salida</t>
        </is>
      </c>
      <c r="B6" s="136">
        <f>COUNTIF(Registro!$G$2:$G$120,"Inicio / Salida")</f>
        <v/>
      </c>
    </row>
    <row r="7" ht="15" customHeight="1" s="74">
      <c r="A7" s="135" t="inlineStr">
        <is>
          <t>Progresión</t>
        </is>
      </c>
      <c r="B7" s="136">
        <f>COUNTIF(Registro!$G$2:$G$120,"Progresión")</f>
        <v/>
      </c>
    </row>
    <row r="8" ht="15" customHeight="1" s="74">
      <c r="A8" s="135" t="inlineStr">
        <is>
          <t>Último pase / Centro</t>
        </is>
      </c>
      <c r="B8" s="136">
        <f>COUNTIF(Registro!$G$2:$G$120,"Último pase / Centro")</f>
        <v/>
      </c>
    </row>
    <row r="9" ht="15" customHeight="1" s="74">
      <c r="A9" s="135" t="inlineStr">
        <is>
          <t>Finalización</t>
        </is>
      </c>
      <c r="B9" s="136">
        <f>COUNTIF(Registro!$G$2:$G$120,"Finalización")</f>
        <v/>
      </c>
    </row>
    <row r="10" ht="15" customHeight="1" s="74">
      <c r="A10" s="135" t="inlineStr">
        <is>
          <t>Recuperación</t>
        </is>
      </c>
      <c r="B10" s="136">
        <f>COUNTIF(Registro!$G$2:$G$120,"Recuperación")</f>
        <v/>
      </c>
    </row>
    <row r="11" ht="15" customHeight="1" s="74">
      <c r="A11" s="135" t="inlineStr">
        <is>
          <t>Ataque en transición</t>
        </is>
      </c>
      <c r="B11" s="136">
        <f>COUNTIF(Registro!$G$2:$G$120,"Ataque en transición")</f>
        <v/>
      </c>
    </row>
    <row r="12" ht="15" customHeight="1" s="74">
      <c r="A12" s="135" t="inlineStr">
        <is>
          <t>Presión</t>
        </is>
      </c>
      <c r="B12" s="136">
        <f>COUNTIF(Registro!$G$2:$G$120,"Presión")</f>
        <v/>
      </c>
    </row>
    <row r="13" ht="15" customHeight="1" s="74">
      <c r="A13" s="135" t="inlineStr">
        <is>
          <t>Acción defensiva</t>
        </is>
      </c>
      <c r="B13" s="136">
        <f>COUNTIF(Registro!$G$2:$G$120,"Acción defensiva")</f>
        <v/>
      </c>
    </row>
    <row r="14" ht="15" customHeight="1" s="74">
      <c r="A14" s="135" t="inlineStr">
        <is>
          <t>Defensa del área</t>
        </is>
      </c>
      <c r="B14" s="136">
        <f>COUNTIF(Registro!$G$2:$G$120,"Defensa del área")</f>
        <v/>
      </c>
    </row>
    <row r="15" ht="15" customHeight="1" s="74">
      <c r="A15" s="135" t="inlineStr">
        <is>
          <t>Pérdida</t>
        </is>
      </c>
      <c r="B15" s="136">
        <f>COUNTIF(Registro!$G$2:$G$120,"Pérdida")</f>
        <v/>
      </c>
    </row>
    <row r="16" ht="15" customHeight="1" s="74">
      <c r="A16" s="135" t="inlineStr">
        <is>
          <t>ABP ofensivo</t>
        </is>
      </c>
      <c r="B16" s="136">
        <f>COUNTIF(Registro!$G$2:$G$120,"ABP ofensivo")</f>
        <v/>
      </c>
    </row>
    <row r="17" ht="15" customHeight="1" s="74">
      <c r="A17" s="135" t="inlineStr">
        <is>
          <t>ABP defensivo</t>
        </is>
      </c>
      <c r="B17" s="136">
        <f>COUNTIF(Registro!$G$2:$G$120,"ABP defensivo")</f>
        <v/>
      </c>
    </row>
    <row r="18" ht="15" customHeight="1" s="74">
      <c r="A18" s="135" t="inlineStr">
        <is>
          <t>Incidencia</t>
        </is>
      </c>
      <c r="B18" s="136">
        <f>COUNTIF(Registro!$G$2:$G$120,"Incidencia")</f>
        <v/>
      </c>
    </row>
    <row r="20" ht="15" customHeight="1" s="74">
      <c r="A20" s="76" t="inlineStr">
        <is>
          <t>Eventos por marcador (del equipo analizado)</t>
        </is>
      </c>
    </row>
    <row r="21" ht="15" customHeight="1" s="74">
      <c r="A21" s="135" t="inlineStr">
        <is>
          <t>Ganando</t>
        </is>
      </c>
      <c r="B21" s="136">
        <f>COUNTIF(Registro!$K$2:$K$120,"Ganando")</f>
        <v/>
      </c>
    </row>
    <row r="22" ht="15" customHeight="1" s="74">
      <c r="A22" s="135" t="inlineStr">
        <is>
          <t>Empatando</t>
        </is>
      </c>
      <c r="B22" s="136">
        <f>COUNTIF(Registro!$K$2:$K$120,"Empatando")</f>
        <v/>
      </c>
    </row>
    <row r="23" ht="15" customHeight="1" s="74">
      <c r="A23" s="135" t="inlineStr">
        <is>
          <t>Perdiendo</t>
        </is>
      </c>
      <c r="B23" s="136">
        <f>COUNTIF(Registro!$K$2:$K$120,"Perdiendo")</f>
        <v/>
      </c>
    </row>
    <row r="25" ht="15" customHeight="1" s="74">
      <c r="A25" s="76" t="inlineStr">
        <is>
          <t>Cruce clave: resultado × marcador</t>
        </is>
      </c>
    </row>
    <row r="26" ht="15" customHeight="1" s="74">
      <c r="A26" s="137" t="n"/>
      <c r="B26" s="109" t="inlineStr">
        <is>
          <t>Ganando</t>
        </is>
      </c>
      <c r="C26" s="109" t="inlineStr">
        <is>
          <t>Empatando</t>
        </is>
      </c>
      <c r="D26" s="109" t="inlineStr">
        <is>
          <t>Perdiendo</t>
        </is>
      </c>
    </row>
    <row r="27" ht="15" customHeight="1" s="74">
      <c r="A27" s="138" t="inlineStr">
        <is>
          <t>Gol</t>
        </is>
      </c>
      <c r="B27" s="136">
        <f>COUNTIFS(Registro!$M$2:$M$120,"Gol",Registro!$K$2:$K$120,"Ganando")</f>
        <v/>
      </c>
      <c r="C27" s="136">
        <f>COUNTIFS(Registro!$M$2:$M$120,"Gol",Registro!$K$2:$K$120,"Empatando")</f>
        <v/>
      </c>
      <c r="D27" s="136">
        <f>COUNTIFS(Registro!$M$2:$M$120,"Gol",Registro!$K$2:$K$120,"Perdiendo")</f>
        <v/>
      </c>
    </row>
    <row r="28" ht="15" customHeight="1" s="74">
      <c r="A28" s="138" t="inlineStr">
        <is>
          <t>Ocasión</t>
        </is>
      </c>
      <c r="B28" s="136">
        <f>COUNTIFS(Registro!$M$2:$M$120,"Ocasión",Registro!$K$2:$K$120,"Ganando")</f>
        <v/>
      </c>
      <c r="C28" s="136">
        <f>COUNTIFS(Registro!$M$2:$M$120,"Ocasión",Registro!$K$2:$K$120,"Empatando")</f>
        <v/>
      </c>
      <c r="D28" s="136">
        <f>COUNTIFS(Registro!$M$2:$M$120,"Ocasión",Registro!$K$2:$K$120,"Perdiendo")</f>
        <v/>
      </c>
    </row>
    <row r="29" ht="15" customHeight="1" s="74">
      <c r="A29" s="138" t="inlineStr">
        <is>
          <t>Parada</t>
        </is>
      </c>
      <c r="B29" s="136">
        <f>COUNTIFS(Registro!$M$2:$M$120,"Parada",Registro!$K$2:$K$120,"Ganando")</f>
        <v/>
      </c>
      <c r="C29" s="136">
        <f>COUNTIFS(Registro!$M$2:$M$120,"Parada",Registro!$K$2:$K$120,"Empatando")</f>
        <v/>
      </c>
      <c r="D29" s="136">
        <f>COUNTIFS(Registro!$M$2:$M$120,"Parada",Registro!$K$2:$K$120,"Perdiendo")</f>
        <v/>
      </c>
    </row>
    <row r="30" ht="15" customHeight="1" s="74">
      <c r="A30" s="138" t="inlineStr">
        <is>
          <t>Pérdida</t>
        </is>
      </c>
      <c r="B30" s="136">
        <f>COUNTIFS(Registro!$M$2:$M$120,"Pérdida",Registro!$K$2:$K$120,"Ganando")</f>
        <v/>
      </c>
      <c r="C30" s="136">
        <f>COUNTIFS(Registro!$M$2:$M$120,"Pérdida",Registro!$K$2:$K$120,"Empatando")</f>
        <v/>
      </c>
      <c r="D30" s="136">
        <f>COUNTIFS(Registro!$M$2:$M$120,"Pérdida",Registro!$K$2:$K$120,"Perdiendo")</f>
        <v/>
      </c>
    </row>
    <row r="32" ht="15" customHeight="1" s="74">
      <c r="A32" s="84" t="inlineStr">
        <is>
          <t>Tu tesis, medida: reacción tras pérdida</t>
        </is>
      </c>
    </row>
    <row r="33" ht="15" customHeight="1" s="74">
      <c r="A33" s="135" t="inlineStr">
        <is>
          <t>Recuperada ≤5s</t>
        </is>
      </c>
      <c r="B33" s="136">
        <f>COUNTIF(Registro!$O$2:$O$120,"Recuperada ≤5s")</f>
        <v/>
      </c>
    </row>
    <row r="34" ht="15" customHeight="1" s="74">
      <c r="A34" s="135" t="inlineStr">
        <is>
          <t>Repliegue</t>
        </is>
      </c>
      <c r="B34" s="136">
        <f>COUNTIF(Registro!$O$2:$O$120,"Repliegue")</f>
        <v/>
      </c>
    </row>
    <row r="35" ht="15" customHeight="1" s="74">
      <c r="A35" s="135" t="inlineStr">
        <is>
          <t>Contra concedida</t>
        </is>
      </c>
      <c r="B35" s="136">
        <f>COUNTIF(Registro!$O$2:$O$120,"Contra concedida")</f>
        <v/>
      </c>
    </row>
    <row r="36" ht="15" customHeight="1" s="74">
      <c r="A36" s="135" t="inlineStr">
        <is>
          <t>Falta táctica</t>
        </is>
      </c>
      <c r="B36" s="136">
        <f>COUNTIF(Registro!$O$2:$O$120,"Falta táctica")</f>
        <v/>
      </c>
    </row>
    <row r="37" ht="15" customHeight="1" s="74">
      <c r="A37" s="138" t="inlineStr">
        <is>
          <t>Tasa de recuperación ≤5s</t>
        </is>
      </c>
      <c r="B37" s="139">
        <f>IFERROR(COUNTIF(Registro!$O$2:$O$120,"Recuperada ≤5s")/COUNTIF(Registro!$G$2:$G$120,"Pérdida"),"—")</f>
        <v/>
      </c>
    </row>
    <row r="39" ht="15" customHeight="1" s="74">
      <c r="A39" s="133" t="inlineStr">
        <is>
          <t>Esa tasa es tu variable de salida (binaria) para el Point-Biserial; el predictor continuo es la columna 'Apoyos al perder' del Registro. Y el cruce de arriba recuerda que una misma etiqueta cambia de significado según el marcador: nunca concluyas sin mirar en qué estado ocurrió.</t>
        </is>
      </c>
    </row>
    <row r="40" ht="15" customHeight="1" s="74"/>
    <row r="41" ht="15" customHeight="1" s="74"/>
  </sheetData>
  <mergeCells count="2">
    <mergeCell ref="A39:E41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73" min="1" max="1"/>
    <col width="18" customWidth="1" style="73" min="2" max="2"/>
    <col width="11" customWidth="1" style="73" min="3" max="3"/>
    <col width="10" customWidth="1" style="73" min="4" max="4"/>
    <col width="13" customWidth="1" style="73" min="5" max="5"/>
    <col width="10" customWidth="1" style="73" min="6" max="6"/>
    <col width="22" customWidth="1" style="73" min="7" max="7"/>
    <col width="30" customWidth="1" style="73" min="8" max="8"/>
    <col width="28" customWidth="1" style="73" min="9" max="9"/>
  </cols>
  <sheetData>
    <row r="1" ht="23.25" customHeight="1" s="74">
      <c r="A1" s="81" t="inlineStr">
        <is>
          <t>Problema detectado</t>
        </is>
      </c>
      <c r="B1" s="81" t="inlineStr">
        <is>
          <t>Evidencia (min / clips)</t>
        </is>
      </c>
      <c r="C1" s="81" t="inlineStr">
        <is>
          <t>Frecuencia</t>
        </is>
      </c>
      <c r="D1" s="81" t="inlineStr">
        <is>
          <t>Impacto</t>
        </is>
      </c>
      <c r="E1" s="81" t="inlineStr">
        <is>
          <t>Entrenabilidad</t>
        </is>
      </c>
      <c r="F1" s="81" t="inlineStr">
        <is>
          <t>Prioridad</t>
        </is>
      </c>
      <c r="G1" s="81" t="inlineStr">
        <is>
          <t>Principio afectado</t>
        </is>
      </c>
      <c r="H1" s="81" t="inlineStr">
        <is>
          <t>Tarea propuesta</t>
        </is>
      </c>
      <c r="I1" s="81" t="inlineStr">
        <is>
          <t>Cómo mido la mejora</t>
        </is>
      </c>
    </row>
    <row r="2" ht="45.75" customHeight="1" s="74">
      <c r="A2" s="140" t="inlineStr">
        <is>
          <t>Concesión de gol tras perder la espalda del lateral</t>
        </is>
      </c>
      <c r="B2" s="140" t="inlineStr">
        <is>
          <t>71' (Chandía) · revisar jugada</t>
        </is>
      </c>
      <c r="C2" s="140" t="inlineStr">
        <is>
          <t>1</t>
        </is>
      </c>
      <c r="D2" s="140" t="inlineStr">
        <is>
          <t>Alta</t>
        </is>
      </c>
      <c r="E2" s="140" t="inlineStr">
        <is>
          <t>Alta</t>
        </is>
      </c>
      <c r="F2" s="140" t="inlineStr">
        <is>
          <t>P1</t>
        </is>
      </c>
      <c r="G2" s="140" t="inlineStr">
        <is>
          <t>Transición def. / control de la espalda</t>
        </is>
      </c>
      <c r="H2" s="140" t="inlineStr">
        <is>
          <t>Tareas de línea y vigilancia; cobertura del lateral</t>
        </is>
      </c>
      <c r="I2" s="140" t="inlineStr">
        <is>
          <t>Nº de desmarques de ruptura concedidos en próximos 3 partidos</t>
        </is>
      </c>
    </row>
    <row r="3" ht="45.75" customHeight="1" s="74">
      <c r="A3" s="140" t="inlineStr">
        <is>
          <t>Fragilidad en balón parado / segunda jugada</t>
        </is>
      </c>
      <c r="B3" s="140" t="inlineStr">
        <is>
          <t>82' (autogol a insistencia de Vadalá)</t>
        </is>
      </c>
      <c r="C3" s="140" t="inlineStr">
        <is>
          <t>1</t>
        </is>
      </c>
      <c r="D3" s="140" t="inlineStr">
        <is>
          <t>Alta</t>
        </is>
      </c>
      <c r="E3" s="140" t="inlineStr">
        <is>
          <t>Media</t>
        </is>
      </c>
      <c r="F3" s="140" t="inlineStr">
        <is>
          <t>P1</t>
        </is>
      </c>
      <c r="G3" s="140" t="inlineStr">
        <is>
          <t>ABP defensivo / segunda jugada</t>
        </is>
      </c>
      <c r="H3" s="140" t="inlineStr">
        <is>
          <t>Defensa de córner: 1.er contacto + rechace</t>
        </is>
      </c>
      <c r="I3" s="140" t="inlineStr">
        <is>
          <t>0 goles de ABP/segunda jugada concedidos (3 partidos)</t>
        </is>
      </c>
    </row>
    <row r="4" ht="39.75" customHeight="1" s="74">
      <c r="A4" s="141" t="inlineStr">
        <is>
          <t>CFDB: XI incompletos para este partido (Cobreloa 9/11, Coquimbo 10/11). Faltan, p. ej., J. Méndez (Cobreloa) e Y. Blanco (Coquimbo); añadidos al roster desde video/prensa.</t>
        </is>
      </c>
      <c r="B4" s="142" t="n"/>
      <c r="C4" s="142" t="n"/>
      <c r="D4" s="142" t="n"/>
      <c r="E4" s="142" t="n"/>
      <c r="F4" s="142" t="n"/>
      <c r="G4" s="142" t="n"/>
      <c r="H4" s="142" t="n"/>
      <c r="I4" s="142" t="n"/>
    </row>
    <row r="5" ht="39.75" customHeight="1" s="74">
      <c r="A5" s="141" t="inlineStr">
        <is>
          <t>CFDB: el 3.er gol (1-2, 87') NO está en el timeline de eventos y falta el SUB_IN de Y. Blanco. Reconstruido desde 2 videos + Cooperativa.</t>
        </is>
      </c>
      <c r="B5" s="142" t="n"/>
      <c r="C5" s="142" t="n"/>
      <c r="D5" s="142" t="n"/>
      <c r="E5" s="142" t="n"/>
      <c r="F5" s="142" t="n"/>
      <c r="G5" s="142" t="n"/>
      <c r="H5" s="142" t="n"/>
      <c r="I5" s="142" t="n"/>
    </row>
    <row r="6" ht="39.75" customHeight="1" s="74">
      <c r="A6" s="141" t="inlineStr">
        <is>
          <t>Autor del 1-2 en conflicto: Y. Blanco (2 videos + Cooperativa) vs autogol 'B. Gaete' (partidos-de-hoy.cl). Adoptado Blanco; evidencia MEDIA.</t>
        </is>
      </c>
      <c r="B6" s="142" t="n"/>
      <c r="C6" s="142" t="n"/>
      <c r="D6" s="142" t="n"/>
      <c r="E6" s="142" t="n"/>
      <c r="F6" s="142" t="n"/>
      <c r="G6" s="142" t="n"/>
      <c r="H6" s="142" t="n"/>
      <c r="I6" s="142" t="n"/>
    </row>
    <row r="7" ht="39.75" customHeight="1" s="74">
      <c r="A7" s="141" t="inlineStr">
        <is>
          <t>Minutos de TV son aproximados; los minutos de esta plantilla siguen a CFDB (64'/70') y prensa (87').</t>
        </is>
      </c>
      <c r="B7" s="142" t="n"/>
      <c r="C7" s="142" t="n"/>
      <c r="D7" s="142" t="n"/>
      <c r="E7" s="142" t="n"/>
      <c r="F7" s="142" t="n"/>
      <c r="G7" s="142" t="n"/>
      <c r="H7" s="142" t="n"/>
      <c r="I7" s="142" t="n"/>
    </row>
    <row r="8" ht="39.75" customHeight="1" s="74">
      <c r="A8" s="142" t="n"/>
      <c r="B8" s="142" t="n"/>
      <c r="C8" s="142" t="n"/>
      <c r="D8" s="142" t="n"/>
      <c r="E8" s="142" t="n"/>
      <c r="F8" s="142" t="n"/>
      <c r="G8" s="142" t="n"/>
      <c r="H8" s="142" t="n"/>
      <c r="I8" s="142" t="n"/>
    </row>
    <row r="10" ht="15" customHeight="1" s="74">
      <c r="A10" s="108" t="inlineStr">
        <is>
          <t>Prioridad = Impacto × Frecuencia × Entrenabilidad. Empieza por 1 solo problema P1 y llévalo hasta la tarea y su medición. Ese es el ciclo completo.</t>
        </is>
      </c>
    </row>
  </sheetData>
  <mergeCells count="1">
    <mergeCell ref="A10:I10"/>
  </mergeCells>
  <dataValidations count="3">
    <dataValidation sqref="D2:D8" showDropDown="0" showInputMessage="0" showErrorMessage="0" allowBlank="1" type="list" errorStyle="stop" operator="between">
      <formula1>Listas!$K$1:$K$3</formula1>
      <formula2>0</formula2>
    </dataValidation>
    <dataValidation sqref="E2:E8" showDropDown="0" showInputMessage="0" showErrorMessage="0" allowBlank="1" type="list" errorStyle="stop" operator="between">
      <formula1>Listas!$K$1:$K$3</formula1>
      <formula2>0</formula2>
    </dataValidation>
    <dataValidation sqref="F2:F8" showDropDown="0" showInputMessage="0" showErrorMessage="0" allowBlank="1" type="list" errorStyle="stop" operator="between">
      <formula1>Listas!$L$1:$L$3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2026-10-05T17:57:20Z</dcterms:created>
  <dcterms:modified xmlns:dcterms="http://purl.org/dc/terms/" xmlns:xsi="http://www.w3.org/2001/XMLSchema-instance" xsi:type="dcterms:W3CDTF">2026-10-06T13:53:22Z</dcterms:modified>
  <cp:revision>0</cp:revision>
</cp:coreProperties>
</file>